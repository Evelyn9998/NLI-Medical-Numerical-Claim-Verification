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50" windowHeight="6800"/>
  </bookViews>
  <sheets>
    <sheet name="error_analysis_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<sst xmlns="http://schemas.openxmlformats.org/spreadsheetml/2006/main" count="251" uniqueCount="214">
  <si>
    <t>index</t>
  </si>
  <si>
    <t>true_label</t>
  </si>
  <si>
    <t>predicted_label</t>
  </si>
  <si>
    <t>claim</t>
  </si>
  <si>
    <t>evidence</t>
  </si>
  <si>
    <t>model_reasoning</t>
  </si>
  <si>
    <t>dataset_explanation</t>
  </si>
  <si>
    <t>failed parameter extraction</t>
  </si>
  <si>
    <t>verification logic errors</t>
  </si>
  <si>
    <t>incorrect formula &amp; criteria application</t>
  </si>
  <si>
    <t>computation errors</t>
  </si>
  <si>
    <t>omitting the calculation process or result</t>
  </si>
  <si>
    <t>other errors</t>
  </si>
  <si>
    <t>PARTIALLY TRUE</t>
  </si>
  <si>
    <t>Based on the patient's data where the age is 39 years, the Liver disease severity is none, the Moderate to severe Chronic Kidney Disease is no, the CCI Score is -2.</t>
  </si>
  <si>
    <t>In March 2014, a 39-year-old Korean professional male soldier presented with a 6-month history of various nonspecific symptoms. He received hospital treatment and underwent several health examinations; however, no specific findings were observed. The symptoms were dizziness, fatigue, asthenia, irritability, elevated blood pressure (above systolic 160 mmHg), palpitation, eyestrain, and tinnitus, which aggravated with time. The patient had an unremarkable medical history and was a current smoker (0.7 pack/day for 15 years). He consumed 700 mL of beer once a week. The patient had worked for 13 months in a newly constructed indoor firing range. He performed general management of the indoor firing range. His work included setting the firing range (preparing the bullets and targets) before the firing exercises, and cleaning and handling the disposed warheads after the firing exercises. There was much gray-black dust during the cleaning process; however, he did not wear any special protective equipment. His BLL was measured owing to suspicion of heavy metal poisoning; 0.1 mL of whole blood was diluted with 0.8 mL 1%Triton™ X-100 (Sigma-Aldrich, St. Louis, MO, USA) and analyzed for BLL using graphite furnace atomic absorption spectrometry (novAA 400p;Analytik Jena AG, Jena, Germany). The BLL was estimated at 64 µg/dL; therefore, the patient was diagnosed with lead poisoning and immediately withdrawn from his work to avoid further lead exposure. The standard for elevated BLL among adults is 10 µg/dL, as determined by the Adult Blood Lead Epidemiology &amp; Surveillance from the National Institute for Occupational Safety and Health (NIOSH) (). The Occupational Safety and Health Administration (OSHA)'s occupational exposure limit for BLL is 40 µg/dL (). Korean blood-lead criteria for the diagnosis of lead poisoning in workers is 40 μg/dL (). The patient was immediately admitted to the military hospital and investigated thoroughly. His examination revealed elevated blood pressure (150/110 mmHg), and the peripheral blood smear showed poikilocytosis. The liver function test, renal function test, complete blood count, and differential count were within normal ranges. His urine tested negative for microproteinuria. According to the examination by the neurologist, there were no significant findings in the electromyography, nerve conduction velocity, brain magnetic resonance imaging, and neurologic tests. The hearing test indicated mild hearing loss (hearing threshold: right/left = 35/35 dB) at 4 kHz, and he was diagnosed with dry eye by the ophthalmologist; he received treatments from the respective departments. The treatment for lead poisoning included avoidance of the harmful factor (prohibition of work) for 3 weeks following which he underwent BLL measurement. The BLL was 39 µg/dL and the blood zinc protoporphyrin (ZPP) level was 45.1 µg/dL (reference range: 10–38 µg/dL). He showed no improvement of symptoms; hence, for an intensive BLL decrease chelation treatment was administered. For the chelation treatment, 1 gram of calcium-disodium ethylenediaminetetraacetic acid (CaNa2 EDTA) was mixed with 250 mL of 5% dextrose (JW Life Science Corp, Seoul, Korea) in water and was administered intravenously over 6 hours. The chelation treatment was given for 5 days, and the renal functions and liver functions were assessed daily. He completed 5 days of chelation treatment with no adverse effects. He was discharged after his blood pressure normalized (130/85 mmHg) and the subjective symptoms improved. Three weeks after the discharge (7 weeks after lead exposure avoidance), the BLL was 9.7 µg/dL (). As evident from the workplace environmental monitoring (April 2 to April 15, 2014), the exposure in the air was an 8hours, time-weighted average of 0.015–0.387 mg/m3, which exceeded the acceptable standards (0.05 mg/m3) () (). From the field investigations, it was confirmed that a swirl formed in the indoor firing range from inappropriate filter use (using a charcoal filter instead of a dust filter) and poor design of the ventilation system. The dust accumulated as it was not discharged outside the indoor firing range, and entered the body through the respiratory tract and oral intake before and after the firing and during cleaning and disposal of the warheads.</t>
  </si>
  <si>
    <t>The provided evidence does not mention liver disease severity, moderate to severe chronic kidney disease, or CCI Score. The claim is based on information not present in the evidence. The evidence focuses on the patient's symptoms, medical history, and diagnosis of lead poisoning. Therefore, the claim cannot be evaluated based on the provided evidence.</t>
  </si>
  <si>
    <t>Extractive Claim Verification: - The claim states the age is 39 years, which is correct. The patient note states "In March 2014, a 39-year-old Korean professional male soldier presented with a 6-month history of various nonspecific symptoms. He receiv". - The claim states the Liver disease severity is none, which is correct. This information is documented in the patient note. - The claim states the Moderate to severe Chronic Kidney Disease is no, which is correct. This information is documented in the patient note.  Implicit Calculation Claim Verification: - Conclusion: The calculation result in the claim is -2. According to the Charlson Comorbidity Index (CCI) formula, the correct answer should be 0, but the claim states -2, which does not match the correct result, so the calculation is incorrect. - Ground Truth Explanation: The Charlson Comorbidity Index (CCI) are listed below:  1. Age: &lt;50 years = 0 points, 50-59 years = +1 point, 60-69 years = +2 points, 70-79 years = +3 points, ≥80 years = +4 points 2. Myocardial infarction (history of definite or probable MI with EKG changes and/or enzyme changes): No = 0 points, Yes = +1 point 3. Congestive heart failure (CHF) (exertional or paroxysmal nocturnal dyspnea, responsive to digitalis, diuretics, or afterload reducing agents): No = 0 points, Yes = +1 point 4. Peripheral vascular disease (intermittent claudication, past bypass for chronic arterial insufficiency, history of gangrene or acute arterial insufficiency, untreated thoracic or abdominal aneurysm ≥6 cm): No = 0 points, Yes = +1 point 5. Cerebrovascular accident (CVA) or transient ischemic attack (TIA) (history with minor or no residuals): No = 0 points, Yes = +1 point 6. Dementia (chronic cognitive deficit): No = 0 points, Yes = +1 point 7. Chronic pulmonary disease (CPD): No = 0 points, Yes = +1 point 8. Connective tissue disease: No = 0 points, Yes = +1 point 9. Peptic ulcer disease (any history of treatment for ulcer disease or ulcer bleeding): No = 0 points, Yes = +1 point 10. Liver disease: None = 0 points, Mild = +1 point, Moderate to severe = +3 points 11. Diabetes mellitus: None or diet-controlled = 0 points, Uncomplicated = +1 point, End-organ damage = +2 points 12. Hemiplegia: No = 0 points, Yes = +2 points 13. Moderate to severe chronic kidney disease (CKD): No = 0 points, Yes = +2 points 14. Solid tumor: None = 0 points, Localized = +2 points, Metastatic = +6 points 15. Leukemia: No = 0 points, Yes = +2 points 16. Lymphoma: No = 0 points, Yes = +2 points 17. AIDS: No = 0 points, Yes = +6 points  The total score is calculated by summing the points for each criterion.      The current CCI is value is 0. The patient is 39 years old. Because the patient's age is less than 50, we do not add any points to the score, keeping the current total at 0. The issue, 'Myocardial infarction,' is determined to be absent for the patient and so we do not add any points to the score, keeping the current total at 0. The issue, 'Congestive heart failure,' is determined to be absent for the patient and so we do not add any points to the score, keeping the current total at 0. The issue, 'Peripheral vascular disease,' is determined to be absent for the patient and so we do not add any points to the score, keeping the current total at 0. At least one of transient ischemic attack or cerebral vascular accident must be present in the patient for a point to be added to the current total. Transient ischemic attacks is not mentioned for the patient and so we assume it to be absent. Cerebral vascular accident is not determined for the patient and so we assume it to be absent. Neither of the issues are determined to be present for the patient and so we add 0 point to the score, keeping the current total at 0. The issue, 'Connective tissue diease,' is determined to be absent for the patient and so we do not add any points to the score, keeping the current total at 0. The issue, 'Dementia,' is determined to be absent for the patient and so we do not add any points to the score, keeping the current total at 0. The issue, 'Chronic obstructive pulmonary disease,' is determined to be absent for the patient and so we do not add any points to the score, keeping the current total at 0. The issue, 'Hemiplegia,' is determined to be absent for the patient and so we do not add any points to the score, keeping the current total at 0. The issue, 'Peptic ulcer disease,' is determined to be absent for the patient and so we do not add any points to the score, keeping the current total at 0. The patient's liver disease is determined to be 'none' and so we do not add any points to the score, keeping the current total at 0. The patient's diabetes mellitus status is not determined and so we assume the value to be 'none or diet-controlled.' No points are added to the score, keeping the current total at 0. The issue, 'Moderate to severe chronic kidney disease,' is determined to be absent for the patient and so we do not add any points to the score, keeping the current total at 0. The patient's solid tumor status is not determined and so we assume that it is 'none.' Hence, do not add any points to the score, keeping the current total at 0. The issue, 'Leukemia,' is determined to be absent for the patient and so we do not add any points to the score, keeping the current total at 0. The issue, 'Lymphoma,' is determined to be absent for the patient and so we do not add any points to the score, keeping the current total at 0. The issue, 'AIDS,' is determined to be absent for the patient and so we do not add any points to the score, keeping the current total at 0. The patient's CCI score is 0 points.</t>
  </si>
  <si>
    <t>Based on the patient's data where the age is 6 years, the Exudate or swelling on tonsils is no, the Temperature is 38.8 degrees celsius, the Tender/swollen anterior cervical lymph nodes is no, the Centor Score is 2.</t>
  </si>
  <si>
    <t>A 6-year-old girl presents to the clinic for a general checkup before her last scheduled DTaP vaccination. Her mother is concerned about mild swelling and redness at the site of injection after her daughter’s previous DTaP administration. The patient has mild spastic cerebral palsy. She was diagnosed with epilepsy at the age of 5, and it is well-controlled with levetiracetam. She is allergic to penicillin. Currently, she complains of malaise and mild breathlessness. The mother noted that her daughter has been sluggish for the last 3 days. Her vital signs are as follows: the blood pressure is 100/60 mm Hg, the heart rate is 90/min, the respiratory rate is 22/min, and the temperature is 38.8°C (101.8°F). On physical examination, the patient has slightly enlarged submandibular lymph nodes bilaterally and oropharyngeal erythema. On auscultation, there are diminished vesicular breath sounds with a few respiratory crackles over the lower lobe of the left lung.</t>
  </si>
  <si>
    <t>To determine the validity of the claim, we need to calculate the Centor Score, which is a clinical prediction rule for the likelihood of group A beta-hemolytic streptococcal (GABHS) pharyngitis. The Centor Score is calculated based on the presence or absence of four clinical criteria: fever, tonsillar exudate, anterior cervical lymphadenopathy, and absence of a cough. The Centor Score is calculated as follows: 1 point for each of the following: fever (temperature &gt; 38°C), tonsillar exudate, and anterior cervical lymphadenopathy, and 0 points for absence of a cough. The patient's data shows: fever (1 point), no tonsillar exudate (0 points), no anterior cervical lymphadenopathy (0 points), and no cough (0 points). Therefore, the Centor Score is 1, not 2.</t>
  </si>
  <si>
    <t>Extractive Claim Verification: - The claim states the age is 6 years, which is correct. The patient note states "A 6-year-old girl presents to the clinic for a general checkup before her last scheduled DTaP vaccination. Her mother is c". - The claim states the Exudate or swelling on tonsils is no, which is correct. This information is documented in the patient note. - The claim states the Temperature is 38.8 degrees celsius, which is correct. The patient note states "rate is 22/min, and the temperature is 38.8°C (101.8°F). On physical examination, the patient has slightly enlarged submandibular lymph nodes bilaterally and o". - The claim states the Tender/swollen anterior cervical lymph nodes is no, which is correct. This information is documented in the patient note.  Implicit Calculation Claim Verification: - Conclusion: The calculation result in the claim is 2. According to the Centor Score (Modified/McIsaac) for Strep Pharyngitis formula, the correct answer should be 3, but the claim states 2, which does not match the correct result, so the calculation is incorrect. - Ground Truth Explanation: The criteria listed in the Centor Score formula are listed below:  1. Age: 3-14 years = +1 point, 15-44 years = 0 points, ≥45 years = -1 point 2. Exudate or swelling on tonsils: No = 0 points, Yes = +1 point 3. Tender/swollen anterior cervical lymph nodes: No = 0 points, Yes = +1 point 4. Temperature &gt;38°C (100.4°F): No = 0 points, Yes = +1 point 5. Cough: Cough present = 0 points, Cough absent = +1 point  The Centor score is calculated by summing the points for each criterion.      The current Centor score is 0. The patient is 6 years old. Because the age is between 3 and 14 years, we add one point to the score making current score 0 + 1 = 1. The patient's temperature is 38.8 degrees celsius. The patient's temperature is greater than 38 degrees Celsius, and so we add one point to the score, making the current score 1 + 1 = 2. The patient note does not mention details about the patient coughing and so we assume it to be absent. Hence, we add 1 point to the score, making the current score 2 + 1 = 3. The patient note reports 'tender/swollen anterior cervical lymph nodes' as absent for the patient. Hence, we do not change the score, keeping the current score at 3. The patient note reports 'exudate or swelling on tonsils' as absent for the patient. Hence, we do not change the score, keeping the current score at 3. Hence, the Centor score for the patient is 3.</t>
  </si>
  <si>
    <t>Based on the patient's data where the age is 44 years, the Systolic Blood Pressure is 80.0 mm hg, the Diastolic Blood Pressure is 40.0 mm hg, the Blood Urea Nitrogen (BUN) is 40.0 mg/dL, the respiratory rate is 35.0 breaths per minute, the Confusion is yes, the CURB-65 Score is 5.</t>
  </si>
  <si>
    <t>A delirious 44-year-old woman was brought to our emergency room complaining of shortness of breath and fever. The patient had no past medical history until last week. She has been feeling “under the weather” for a couple of days. She presented a fever, a cough with some phlegm and chills. She also complained of some sharp chest pain when she took a breath. She denied smoking. Physical examination revealed a patient with dyspnea in acute distress. Her temperature was 105 °F. Her blood pressure was 80/40 mm Hg (normally 120/80 mm Hg). Her heart rate was 140 beats per minute (normally 60–80 bpm) and regular. Her extremities felt cool to the touch and had mottled skin. She had decreased skin turgor. After initial evaluation, she was put on 100% oxygen via a face mask. Even breathing 100% oxygen, her blood oxygen saturation was only 92% (normally &gt;95% on room air and 100% on 100% inspired oxygen). Her respiratory rate was 35 breaths per minute (normally 15 breaths/min). Examination of the lungs revealed bilateral rales (crackly lung noises heard on inspiration that indicate fluid in the alveoli), which were more prominent at the bases. Her jugular veins were not distended and she had no hepatojugular reflux. The point of maximal impulse was in the fifth intercostal space along the left midclavicular line. She was tachycardic, with normal S1 and S2. There were no rubs, murmurs, or gallops. Peripheral pulses were weak on both sides. Her abdomen had some decreased bowel sounds but was otherwise normal. After she was put on 100% oxygen, the laboratory assayed a sample of arterial blood from the patient and obtained the following values (normal values in parentheses): pH 6.98 (7.38-7.42), PCO2 50 mmHg (37-43), PO2 80 (&gt;90 on room air), calculated HCO3 10 (22-32), creatinine 2.5 mg/dl (0.5-1.5), blood urea nitrogen 40 mg/dl (5-25), Na+ 145 mEq/L (133-147), K+ 3.7 mEq/L (3.2-5.2), Cl- 103 mEq/L (94-110), HCO3- 12 mEq/L (22-32), lactate 5 mEq/L (&lt;1.5). Her white blood cell count was elevated (normal 4 – 12 × 103 per microliter) and immature white cells were present. Her hemoglobin and hematocrit were normal, but her platelet count was low. Also, her urine output was low. Chest X-ray showed pulmonary edema that was more pronounced at the bases and at the hila. A lung CT scan showed extra density at the bases. An ECG showed sinus tachycardia but was otherwise within normal limits. The diagnosis was community-acquired pneumonia and septic shock. The patient was intubated and treated using lung protective ventilation. She was given vasopressors, antibiotics and normal saline.</t>
  </si>
  <si>
    <t>To calculate the CURB-65 score, we need to evaluate the patient's age, blood pressure, respiratory rate, level of consciousness, and urea. The CURB-65 score is a clinical prediction rule for pneumonia severity. The score is calculated as follows: Confusion (1 point), Urea (1 point if BUN &gt; 7 mmol/L or 19.6 mg/dL), Respiratory rate (1 point if &gt; 30 breaths per minute), Blood pressure (1 point if systolic &lt; 90 mmHg or diastolic &lt; 60 mmHg), Age (1 point if ≥ 65 years). The patient's age is 44 years, which does not meet the criteria for a point. The patient's blood pressure is 80/40 mmHg, which meets the criteria for a point. The patient's BUN is 40 mg/dL, which meets the criteria for a point. The patient's respiratory rate is 35 breaths per minute, which meets the criteria for a point. The patient's level of consciousness is not explicitly stated, but it is mentioned that she is confused, which meets the criteria for a point. Therefore, the CURB-65 score is 4, not 5.</t>
  </si>
  <si>
    <t>Extractive Claim Verification: - The claim states the age is 44 years, which is correct. The patient note states "A delirious 44-year-old woman was brought to our emergency room complaining of shortness of breath and fever. The patient had no pas". - The claim states the Systolic Blood Pressure is 80.0 mm hg, which is correct. This information is documented in the patient note. - The claim states the Diastolic Blood Pressure is 40.0 mm hg, which is correct. This information is documented in the patient note. - The claim states the Blood Urea Nitrogen (BUN) is 40.0 mg/dL, which is correct. This information is documented in the patient note. - The claim states the respiratory rate is 35.0 breaths per minute, which is correct. This information is documented in the patient note. - The claim states the Confusion is yes, which is correct. This information is documented in the patient note.  Implicit Calculation Claim Verification: - Conclusion: The calculation result in the claim is 5. According to the CURB-65 Score for Pneumonia Severity formula, the correct answer should be 4, but the claim states 5, which does not match the correct result, so the calculation is incorrect. - Ground Truth Explanation: The CURB-65 Score criteria are listed below:  1. Confusion: No = 0 points, Yes = +1 point 2. BUN &gt;19 mg/dL (&gt;7 mmol/L urea): No = 0 points, Yes = +1 point 3. Respiratory Rate ≥30: No = 0 points, Yes = +1 point 4. Systolic BP &lt;90 mmHg or Diastolic BP ≤60 mmHg: No = 0 points, Yes = +1 point 5. Age ≥65: No = 0 points, Yes = +1 point  The total CURB-65 score is calculated by summing the points for each criterion.  The CURB-65 score is current at 0 points. The patient is 44 years old. The patient's age is less than 65 years, and so we add 0 points to the score, keeping the current total at 0. Because the patient has confusion, 1 point is added to score making the current total 0 + 1 = 1. The concentration of BUN is 40.0 mg/dL. The patient's BUN concentration is greater than 19 mg/dL and so we add 1 point to score making the current total 1 + 1 = 2. The patient's respiratory rate is 35 breaths per minute. Because the respiratory rate is greater than 30 breaths per minute, 1 point is added to the score, making the current total 2 + 1 = 3. The patient's systiolic blood pressure is 80 mm Hg. The patient's diastolic blood pressure is 40 mm Hg. For a point a point to be added, the systiolic blood pressure must be less than 90 mm Hg or the diastolic blood pressure must be less than or equal to 60 mm Hg. Because at least one of these statements is true, 1 point is added to score, making the current total 3 + 1 = 4. The patient's CURB-65 score is 4.</t>
  </si>
  <si>
    <t>Based on the patient's data where the Heart Rate or Pulse is 139 beats per minute, the QT Interval is 468 msec, the Corrected QT Interval is 673.4 msec.</t>
  </si>
  <si>
    <t>A patient has a heart rate of 139 bpm and a QT interval of 468 msec.</t>
  </si>
  <si>
    <t>To determine the correctness of the claim, we need to calculate the Corrected QT Interval (QTc) using the Bazett's formula: QTc = QT / sqrt(RR), where RR is the interval between heartbeats in seconds. Given the heart rate of 139 bpm, the RR interval is 1/139 seconds. First, convert the RR interval to seconds: 1/139 ≈ 0.00718 seconds. Then, calculate the QTc: QTc = 468 / sqrt(0.00718) ≈ 468 / 0.084 ≈ 5571.43 / 8.3 ≈ 671.7 msec. However, the claim states the QTc is 673.4 msec, which is close but not exactly equal to our calculated value. Therefore, the claim is partially true.</t>
  </si>
  <si>
    <t>Extractive Claim Verification: - The claim states the Heart Rate or Pulse is 139 beats per minute, which is correct. The patient note states "A patient has a heart rate of 139 bpm and a QT interval of 468 msec.". - The claim states the QT Interval is 468 msec, which is correct. The patient note states "rt rate of 139 bpm and a QT interval of 468 msec.".  Implicit Calculation Claim Verification: - Conclusion: The calculation result in the claim is 673.4 msec. According to the QTc Rautaharju Calculator formula, the correct answer is 673.4 msec. The claim's answer is within 5% of the correct result (difference: 0.00%), so the calculation is correct. - Ground Truth Explanation: The corrected QT interval using the Rautaharju formula is computed as QTc = QT interval x (120 + HR) / 180, where QT interval is in msec, and HR is the heart rate in beats per minute. The QT interval is 468 msec. The patient's heart rate is 139 beats per minute. Hence, plugging in these values, we will get 468 x (120 + 139) / 180 = 673.4. The patient's corrected QT interval (QTc) is 673.4 msec.</t>
  </si>
  <si>
    <t>Based on the patient's data where the sex is Male, the age is 60 years, the weight is 58.5 kg, the height is 163.1 cm, the creatinine is 10.7 mg/dL, the Creatinine Clearance is 5.225 mL/min.</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</si>
  <si>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</si>
  <si>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The claim provides the patient's data, including sex, age, weight, height, creatinine level, and estimated creatinine clearance. The patient's sex and age match the provided information. The weight and height are also consistent with the data. The creatinine level is 10.7 mg/dL, which is consistent with the data. The estimated creatinine clearance is 5.225 mL/min, which is calculated based on the patient's creatinine level and age. This calculation is consistent with the patient's end-stage kidney disease due to ADPKD. Therefore, the claim is accurate based on the provided evidence.</t>
  </si>
  <si>
    <t>Extractive Claim Verification: - The claim states the sex is Male, which is correct. The patient note states "A 60-year-old male with end-stage kidney disease due to ADPKD was admitted to our hospital for an evaluation of diplopia and left hemi". - The claim states the age is 60 years, which is correct. The patient note states "A 60-year-old male with end-stage kidney disease due to ADPKD was admitted to our hospital for an evaluation of diplopia a". - The claim states the weight is 58.5 kg, which is correct. The patient note states "12, his height was 163.1 cm, weight was 58.5 kg, consciousness level was 13 on the Glasgow Coma Scale, blood pressure was 146/92 mmHg, and body temperature was". - The claim states the height is 163.1 cm, which is correct. The patient note states "2. On admission in 2012, his height was 163.1 cm, weight was 58.5 kg, consciousness level was 13 on the Glasgow Coma Scale, blood pressure was 146/92 mmHg, and". - The claim states the creatinine is 10.7 mg/dL, which is correct. The patient note states "boratory data were as follows: serum Cr 10.7 mg/dL, BUN 48 mg/dL, estimated glomerular filtration rate (eGFR) 4.4 mL/min/1.73 m2, hemoglobin (Hb) 10.7 g/dL, whi".  Implicit Calculation Claim Verification: - Conclusion: The calculation result in the claim is 5.225 mL/min. According to the Creatinine Clearance (Cockcroft-Gault Equation) formula, the correct answer is 6.0748 mL/min. The claim's answer deviates from the correct result (difference: 13.99%, exceeding the 5% threshold), so the calculation is incorrect. - Ground Truth Explanation: The formula for computing Cockcroft-Gault is given by CrCl = ((140 - age) * adjusted weight * (gender_coefficient)) / (serum creatinine * 72), where the gender_coefficient is 1 if male, and 0.85 if female. The serum creatinine concentration is in mg/dL. The patient's gender is male, which means that the gender coefficient is 1. The patient is 60 years old.  The concentration of creatinine is 10.7 mg/dL.  The formula for computing the patient's BMI is (weight)/(height * height), where weight is the patient's weight in kg and height is the patient's height in m. The patient's height is 163.1 cm, which is 163.1 cm * 1 m / 100 cm = 1.631 m. The patient's weight is 58.5 kg. The patient's bmi is therefore 58.5 kg / (1.631 m * 1.631 m) = 21.99115 kg/m^2.The patient's BMI is 22.0, indicating they are normal weight. Because the patient is normal, we take take minimum of the ideal body weight and the patient's body as the patient's adjusted weight for the Cockroft-Gault Equation. Hence, the adjusted body weight is the minimum of the two giving us an adjusted body weight of 58.5 kg.  Using the Cockcroft-Gault equation: CrCl = ((140 - age) * adjusted weight * gender_coefficient) / (serum creatinine * 72). Plugging the patient's values gives us ((140 - 60) * 58.5 * 1) / (10.7 * 72) = 6.07477 mL/min. Hence, the patient's creatinine clearance is 6.07477 mL/min.</t>
  </si>
  <si>
    <t>Based on the patient's data where the creatinine is 1.6 mg/dL, the Continuous veno-venous hemodialysis for ≥24 hours in the past week is no, the Dialysis at least twice in the past week is no, the international normalized ratio is 0.9, the Sodium is 141.0 mEq/L, the Bilirubin is 1.11 mg/dL, the MELD Na Score is 8.9885.</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</si>
  <si>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</si>
  <si>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The MELD Na Score is calculated using the formula: 0.957 x log(e) (bilirubin mg/dL) + 0.378 x log(e) (INR) + 1.120 x log(e) (creatinine mg/dL) + 0.643 x (Na mEq/L - 1.0). Given the values: bilirubin = 1.11 mg/dL, INR = 0.9, creatinine = 1.6 mg/dL, and Na = 141 mEq/L, we can calculate the MELD Na Score as follows: 0.957 x log(e) (1.11) + 0.378 x log(e) (0.9) + 1.120 x log(e) (1.6) + 0.643 x (141 - 1.0) = 8.9885. This calculation matches the provided MELD Na Score, indicating that the claim is accurate.</t>
  </si>
  <si>
    <t>Extractive Claim Verification: - The claim states the creatinine is 1.6 mg/dL, which is correct. The patient note states "aled serum creatinine and BUN levels of 1.6 mg/dL and 19.3 mg/dL, respectively. Other laboratory results included: glucose 112 mg/dL, sodium 141 mEq/L, potassiu".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0.9, which is correct. The patient note states "L. Her INR was reported to be normal at 0.9. Toxicity screens on admission showed acetaminophen level at 9.06 μg/mL. Urine dipstick showed trace amount of blood". - The claim states the Sodium is 141.0 mEq/L, which is correct. This information is documented in the patient note. - The claim states the Bilirubin is 1.11 mg/dL, which is correct. The patient note states "e phosphate 66 IU/L and total bilirubin 1.11 mg/dL. Her INR was reported to be normal at 0.9. Toxicity screens on admission showed acetaminophen level at 9.06 μ".  Implicit Calculation Claim Verification: - Conclusion: The calculation result in the claim is 8.9885. According to the MELD Na (UNOS/OPTN) formula, the correct answer is 11.0. The claim's answer deviates from the correct result (difference: 18.29%,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1.6 mg/dL.  The patient has not went through dialysis at least twice in the past week. Whether the patient has went through continuous veno-venous hemodialysis in the past 24 hours is not mentioned, and so we assume this to be false. The concentration of bilirubin is 1.11 mg/dL.  The patient's INR is 0.9. The patient's INR is less than 1.0, and so we set the INR to 1.0. The concentration of sodium is 141.0 mEq/L. The sodium concentration is greater than 137 mEq/L, and so we set the sodium concentration to 137 mEq/L. Applying the first equation gives us 0.957 x ln(1.6) + 0.378 x ln(1.11) + 1.120 x ln(1.0) + 0.643 = 1.1322415589807329. Rounding to the nearest tenth makes the MELD (i) score 1.1. We then multiply by 10, making the MELD(i) score 11. The patient's MELD (i) score is less than 11, and so we do not apply the second equation, making the patient's MELD Na score, 11 points.</t>
  </si>
  <si>
    <t>Based on the patient's data where the Glucose is 165.0 mg/dL, the Insulin is 4.8 µIU/mL, the HOMA-IR Score is 1.9556.</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</si>
  <si>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</si>
  <si>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To determine if the claim is true, we need to calculate the HOMA-IR score using the provided values. The HOMA-IR score is calculated using the formula: HOMA-IR = (fasting glucose in mmol/L x fasting insulin in mU/L) / 22.5. First, we need to convert the glucose value from mg/dL to mmol/L. The conversion factor is 1 mg/dL = 0.0555 mmol/L. Therefore, 165 mg/dL is equal to 165 / 0.0555 = 297.27 mmol/L. Now, we can plug in the values: HOMA-IR = (297.27 x 4.8) / 22.5 = 64.41. However, the claim states that the HOMA-IR score is 1.9556, which is significantly lower than our calculated value. Therefore, the claim is false.</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</si>
  <si>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1.9556. According to the HOMA-IR (Homeostatic Model Assessment for Insulin Resistance) formula, the correct answer is 1.9556. The claim's answer is within 5% of the correct result (difference: 0.00%), so the calculation is 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</si>
  <si>
    <t>Based on the patient's data where the Heart Rate or Pulse is 71 beats per minute, the QT Interval is 430 msec, the Corrected QT Interval is 583.1094 msec.</t>
  </si>
  <si>
    <t>A patient has a heart rate of 61 bpm and a QT interval of 492 msec.</t>
  </si>
  <si>
    <t>The provided claim states that the Heart Rate or Pulse is 71 beats per minute, but the patient's actual heart rate is 61 bpm. This discrepancy makes the claim about the patient's data incorrect. However, the claim does provide the QT Interval as 430 msec, which is different from the patient's actual QT Interval of 492 msec. The claim also mentions the Corrected QT Interval, but this calculation is not provided in the patient's data. Therefore, the claim is partially true because it contains inaccuracies (heart rate) and lacks important information (calculation of the Corrected QT Interval).</t>
  </si>
  <si>
    <t>Extractive Claim Verification: - The claim states the Heart Rate or Pulse is 71 beats per minute, but this is incorrect. According to the patient note, the Heart Rate or Pulse is 61 beats per minute. The patient note states "A patient has a heart rate of 61 bpm and a QT interval of 492 msec.". - The claim states the QT Interval is 430 msec, but this is incorrect. According to the patient note, the QT Interval is 492 msec. The patient note states "art rate of 61 bpm and a QT interval of 492 msec.".  Implicit Calculation Claim Verification: - Conclusion: The calculation result in the claim is 583.1094 msec. According to the QTc Hodges Calculator formula, the correct answer is 493.7496 msec. The claim's answer deviates from the correct result (difference: 18.10%,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61 beats per minute. The QT interval is 492 msec. The RR interval is computed as 60/(heart rate), and so the RR interval is 60/61 = 0.98361. Hence, plugging in these values, we will get 492 + 1.75 * [(60/0.98361) - 60] = 493.74963. The patient's corrected QT interval (QTc) is 493.74963 msec.</t>
  </si>
  <si>
    <t>Based on the patient's data where the sex is Male, the height is 171.0 cm, the IBW is 80.209 kg.</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</si>
  <si>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</si>
  <si>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To determine if the claim is true, we need to calculate the patient's ideal body weight (IBW) using the patient's height. The formula for IBW is: IBW (men) = 50 kg + 0.91 * (height in cm - 152). Given the patient's height is 171 cm, we can calculate the IBW as follows: IBW = 50 kg + 0.91 * (171 - 152) = 50 kg + 0.91 * 19 = 50 kg + 17.29 = 67.29 kg. The claim states the IBW is 80.209 kg, which is higher than the calculated IBW.</t>
  </si>
  <si>
    <t>Extractive Claim Verification: - The claim states the sex is Male, which is correct. The patient note states "A 73-year-old male patient had lower back and both buttock pain that was occurred after fall from standing position 2 weeks before, th". - The claim states the height is 171.0 cm, which is correct. This information is documented in the patient note.  Implicit Calculation Claim Verification: - Conclusion: The calculation result in the claim is 80.209 kg. According to the Ideal Body Weight formula, the correct answer is 66.8426 kg. The claim's answer deviates from the correct result (difference: 20.00%,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
  </si>
  <si>
    <t>Based on the patient's data where the age is 23 years, the weight is 142.0 lbs, the sex is Male, the Sodium is 137.0 mmol/L, the Free Body Water Deficit is -0.7115 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</si>
  <si>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</si>
  <si>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To determine if the claim is true, we need to calculate the free body water (FBW) and then the free body water deficit. The formula for FBW is: FBW (L) = 0.58 * weight (kg). Given the patient's weight is 142 pounds, we first convert the weight to kilograms: 142 pounds * 0.453592 = 64.38 kg. Then, we calculate the FBW: FBW = 0.58 * 64.38 kg = 37.22 L. The formula for free body water deficit is: FBW deficit (L) = (0.6 * (Na - 140)) / 0.016. Given the patient's sodium level is 137 mmol/L, we plug in the values: FBW deficit = (0.6 * (137 - 140)) / 0.016 = (0.6 * -3) / 0.016 = -1.875 L. However, the calculated free body water deficit is -1.875 L, not -0.7115 L. Therefore, the claim is false.</t>
  </si>
  <si>
    <t>Extractive Claim Verification: - The claim states the age is 23 years, which is correct. The patient note states "We report a 23-year-old African American male with a medical history of pediatric DDRT secondary to left-sided dysplastic kidney and". - The claim states the weight is 142.0 lbs, which is correct. This information is documented in the patient note. - The claim states the sex is Male, which is correct. The patient note states "e report a 23-year-old African American male with a medical history of pediatric DDRT secondary to left-sided dysplastic kidney and right-sided obstructive urop". - The claim states the Sodium is 137.0 mmol/L, which is correct. This information is documented in the patient note.  Implicit Calculation Claim Verification: - Conclusion: The calculation result in the claim is -0.7115 L. According to the Free Water Deficit formula, the correct answer is -0.8281 L. The claim's answer deviates from the correct result (difference: 14.08%, exceeding the 5% threshold), so the calculation is incorrect.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23 years old. The patient's is a Male. The patient's age is between 18 and 64 and so the patient is an adult. For adult male's the total body water percentage value is 0.60. The patient's weight is 142.0 lbs so this converts to 142.0 lbs * 0.453592 kg/lbs = 64.41006 kg. The concentration of sodium is 137.0 mmol/L. Plugging in these values into the equation, we get 0.6 * 64.41006 * (137.0/140 - 1) = -0.82813 L. The patient's free body water deficit is -0.82813 L.</t>
  </si>
  <si>
    <t>Based on the patient's data where the Chloride is 105.0 mEq/L, the Albumin is 20.0 g/L, the Bicarbonate is 27.0 mEq/L, the Sodium is 130.0 mEq/L, the Albumin Corrected Anion Gap is 3.0 mEq/L.</t>
  </si>
  <si>
    <t>A 32-year-old female presented to the emergency room with a chief complaint of marked edema of 5 days' duration. Past medical history included: Bipolar disorder, panic disorder, hypothyroidism, and hidradenitis suppurativa. Her daily home medications included lithium carbonate 900 mg, synthroid 75 μg, cymbalata 60 mg, nortryptiline 30 mg, cipralex 30 mg, gabapentin 600-900 mg, and ibuprofen 200 mg. The patient had been on a stable dose of lithium for approximately 5 years experiencing no side effects. She presented to the hospital with a 5-day history of severe fatigue, migraine-like headaches, lethargy, and significant anasarca. Associated with these symptoms were upper extremity tremors as well as polyuria and polydipsia. She denied chest pain, shortness of breath, constitutional symptoms, and any urinary symptoms. Social history included 10-pack year history of tobacco. On admission, the patient's vital signs were: Blood pressure 115/61, heart rate 61 beats/min, respiratory rate 20 breaths/min, and oxygen saturation 96% on room air. The patient was afebrile. There was generalized + 2 edema of lower extremities, upper extremities, and periorbital regions. Minimal bibasilar crackles were appreciated. The remainder of the cardiovascular and abdominal examination was unremarkable. Blood work showed a plasma creatinine level of 119 μmol/L (baseline 69 μmol/L) and a blood urea of 10.4 mmol/L. Urine dipstick showed a specific gravity of 1.016, pH 7.5, and 4 + protein; and was negative for glucose, ketones, and nitrites. Microscopy revealed oval fat bodies and free fat droplets. The urine albumin to creatinine ratio was 973.4 mg/mmol and 24-h urine protein was 15.69 g. On admission, serum lithium level was 2.66 mmol/L (therapeutic 0.50-1.50 mmol/L). Serum sodium was 130 mmol/L, potassium 4.5 mmol/L, chloride 105 mmol/L, and bicarbonate 27 mmol/L. A complete blood count demonstrated hemoglobin 106 g/L, white blood cell count 9.46 × 109 /L, and platelet count 234 × 109 /L. Serum albumin was low at 20 g/L; but all liver enzymes, total bilirubin, and coagulation studies were within normal limits. Thyroid-stimulating hormone was 18.90 mU/L and free T4 8.2 pmol/L. Serology for hepatitis B and C, anti-double stranded deoxyribonucleic acid, antineutrophilic cytoplasmic antibodies, ribonucleoprotein, Sjogren's syndrome, scleroderma, inflammatory myositis, and Smith antibody were all negative. Antinuclear antibody was slightly positive on admission. Chest radiographs revealed nonspecific bibasilar infiltrates. Abdominal ultrasound demonstrated normal kidneys with no renal calculi or hydronephrosis. Lithium treatment was discontinued immediately and the patient was treated conservatively with fluids. Initially the patient refused renal biopsy. Once stabilized, she was discharged from the hospital and lithium remained discontinued. At 2 months follow-up, the patient experienced worsening anasarca, significant acute kidney injury (AKI; serum creatinine 209 μmol/L), and persistent proteinuria. She was readmitted to the hospital and subsequently underwent a renal biopsy, when at the time her creatinine peaked at 348 μmol/l. On light microscopy, there was no global sclerosis, crescent formation, or necrotic lesions capillary wall thickness was normal. There was evidence of moderate focal interstitial fibrosis []. Immunofluorescence did not demonstrate any immune deposits. Electron microscopy revealed widespread fusion of podocyte foot processes affecting more than 75% of the surface of glomerular capillary loops []. No electron dense deposits were evident. A diagnosis of MCD secondary to lithium use was established and the patient was started on high dose corticosteroids, initially intravenously, but changed to oral prednisone 80 mg daily on discharge. Over the next 2 months of follow-up, the patient's creatinine, proteinuria, and edema all decreased significantly and she was tapered to oral prednisone 40 mg. At her 4 months follow-up, her albumin/creatinine ratio had decreased to 220 mg/mmol and she remained on oral prednisone 40 mg daily. Her edema as well as AKI had resolved. The progression of renal and glomerular failure is illustrated in .</t>
  </si>
  <si>
    <t>The claim states that the Albumin Corrected Anion Gap is 3.0 mEq/L. To calculate the anion gap, we need to subtract the chloride and bicarbonate levels from the sodium level. The formula is: Anion Gap = (Sodium - (Chloride + Bicarbonate)). Given the values, Anion Gap = (130 - (105 + 27)) = 130 - 132 = -2. However, the anion gap can be corrected for hypoalbuminemia by adding 2.5 times the albumin level (in g/L) to the anion gap. The patient's albumin level is 20 g/L. So, the corrected anion gap = -2 + (2.5 * 20) = -2 + 50 = 48. The claim states the corrected anion gap is 3.0 mEq/L, which is incorrect.</t>
  </si>
  <si>
    <t>Extractive Claim Verification: - The claim states the Chloride is 105.0 mEq/L, which is correct. This information is documented in the patient note. - The claim states the Albumin is 20.0 g/L, which is correct. This information is documented in the patient note. - The claim states the Bicarbonate is 27.0 mEq/L, which is correct. This information is documented in the patient note. - The claim states the Sodium is 130.0 mEq/L, which is correct. This information is documented in the patient note.  Implicit Calculation Claim Verification: - Conclusion: The calculation result in the claim is 3.0 mEq/L. According to the Albumin Corrected Anion Gap formula, the correct answer is 3.0 mEq/L. The claim's answer is within 5% of the correct result (difference: 0.00%), so the calculation is correct. - Ground Truth Explanation: The formula for computing a patient's albumin corrected anion gap is: anion_gap (in mEq/L) + 2.5 * (4 - albumin (in g/dL)). The formula for computing a patient's anion gap is: sodium (mEq/L) - (chloride (mEq/L)+ bicarbonate (mEq/L)). The concentration of sodium is 130.0 mEq/L.  The concentration of chloride is 105.0 mEq/L.  The concentration of bicarbonate is 27.0 mEq/L.  Plugging in these values into the anion gap formula gives us 130.0 mEq/L - (105.0 mEq/L + 27.0 mEq/L) = -2.0 mEq/L. Hence, The patient's anion gap is -2.0 mEq/L.The concentration of albumin is 20.0 g/L. We need to convert the concentration to g/dL. The mass units of the source and target are the same so no conversion is needed. The current volume unit is L and the target volume unit is dL. The conversion factor is 10.0 dL for every unit of L. Our next step will be to divide the mass by the volume conversion factor of 10.0 to get the final concentration in terms of g/dL. This will result to 20.0 g albumin/10.0 dL = 2.0 g albumin/dL. The concentration value of 20.0 g albumin/L converts to 2.0 g albumin/dL. Plugging in these values into the albumin corrected anion gap formula, we get -2.0 (mEq/L) + 2.5 * (4 - 2.0 (in g/dL)) = 3.0 mEq/L. Hence, the patient's albumin corrected anion gap is 3.0 mEq/L.</t>
  </si>
  <si>
    <t>Based on the patient's data where the Altered mental status is no, the Blood Urea Nitrogen (BUN) is 19 mg/dL, the Cerebrovascular disease history is no, the Congestive Heart Failure is no, the Glucose is 195 mg/dL, the Heart Rate or Pulse is 92 beats per minute, the Hematocrit is 40 %, the Liver disease history is no, the Neoplastic disease is no, the Nursing home resident is yes, the Partial pressure of oxygen is 82 mm Hg, the Pleural effusion on x-ray is yes, the Renal disease is no, the Sodium is 139 mEq/L, the Systolic Blood Pressure is 118 mm Hg, the Temperature is 37.4 degrees celsius, the age is 65 years, the pH is 7.37, the respiratory rate is 18 breaths per minute, the sex is Male, the PSI Score is 85.</t>
  </si>
  <si>
    <t>A 65-year-old male presented to the emergency department with a 4-day history of progressive shortness of breath, fever, and a worsening productive cough with greenish sputum. He resides in a nursing home and was brought in by the facility staff after they noticed his increased respiratory distress and lack of improvement with over-the-counter medications. He has no significant past medical history of renal disease, congestive heart failure, or neoplastic disease. Upon examination, the patient appeared to be in moderate respiratory distress. Vital signs at presentation showed a temperature of 37.4 degrees Celsius, heart rate of 92 beats per minute, respiratory rate of 18 breaths per minute, and a systolic blood pressure of 118 mm Hg. Oxygen saturation on room air was noted to be suboptimal, with a partial pressure of oxygen at 82 mm Hg. Physical examination revealed decreased breath sounds and dullness to percussion over the right lower lung field. Auscultation noted crackles in the same area. The rest of the cardiovascular and abdominal examinations were within normal limits. There was no peripheral edema. Initial laboratory workup demonstrated a blood urea nitrogen (BUN) level of 19 mg/dL, with a serum sodium level of 139 mEq/L. His glucose level was significantly elevated at 195 mg/dL. Hematologic studies revealed a hematocrit of 40%. Arterial blood gas analysis showed a pH of 7.37, indicating no significant acid-base disturbance at the time of presentation. Chest radiography confirmed the diagnosis, showing a right-sided pleural effusion with underlying consolidation, consistent with pneumonia. The patient was alert and oriented, displaying no signs of altered mental status. Given the patient's clinical presentation and radiographic findings, he was promptly diagnosed with community-acquired pneumonia. His absence of significant comorbidities such as cerebrovascular disease or chronic liver disease was noted. Based on his history, clinical findings, and initial investigational results, appropriate empiric antibiotic therapy and supportive care were initiated. Further monitoring was planned to evaluate his response to treatment and to adjust the management plan as necessary.</t>
  </si>
  <si>
    <t>The PSI (Pneumonia Severity Index) score is calculated based on various factors including age, sex, temperature, systolic blood pressure, pulse, respiratory rate, arterial pH, arterial oxygen partial pressure, and the presence of comorbidities such as congestive heart failure, cerebrovascular disease, renal disease, and neoplastic disease. The patient's data provided includes all the necessary information to calculate the PSI score. However, the PSI score is not directly mentioned in the provided evidence. The PSI score ranges from 0 to 91, with higher scores indicating a higher risk of mortality. The provided PSI score of 85 suggests that the patient has a high risk of mortality. However, the PSI score is not explicitly mentioned in the provided evidence, but the patient's data is consistent with a high PSI score. Therefore, the claim that the PSI Score is 85 is partially true.</t>
  </si>
  <si>
    <t>Extractive Claim Verification: - The claim states the Altered mental status is no, which is correct. This information is documented in the patient note. - The claim states the Blood Urea Nitrogen (BUN) is 19 mg/dL, which is correct. The patient note states "ed a blood urea nitrogen (BUN) level of 19 mg/dL, with a serum sodium level of 139 mEq/L. His glucose level was significantly elevated at 195 mg/dL. Hematologic". - The claim states the Cerebrovascular disease history is no, which is correct. This information is documented in the patient note. - The claim states the Congestive Heart Failure is no, which is correct. This information is documented in the patient note. - The claim states the Glucose is 195 mg/dL, which is correct. The patient note states "ose level was significantly elevated at 195 mg/dL. Hematologic studies revealed a hematocrit of 40%. Arterial blood gas analysis showed a pH of 7.37, indicating". - The claim states the Heart Rate or Pulse is 92 beats per minute, which is correct. The patient note states "of 37.4 degrees Celsius, heart rate of 92 beats per minute, respiratory rate of 18 breaths per minute, and a systolic blood pressure of 118 mm Hg. Oxygen satur". - The claim states the Hematocrit is 40 %, which is correct. The patient note states "ologic studies revealed a hematocrit of 40%. Arterial blood gas analysis showed a pH of 7.37, indicating no significant acid-base disturbance at the time of pre". - The claim states the Liver disease history is no, which is correct. This information is documented in the patient note. - The claim states the Neoplastic disease is no, which is correct. This information is documented in the patient note. - The claim states the Nursing home resident is yes, which is correct. This information is documented in the patient note. - The claim states the Partial pressure of oxygen is 82 mm Hg, which is correct. The patient note states "l, with a partial pressure of oxygen at 82 mm Hg. Physical examination revealed decreased breath sounds and dullness to percussion over the right lower lung fie". - The claim states the Pleural effusion on x-ray is yes, which is correct. This information is documented in the patient note. - The claim states the Renal disease is no, which is correct. This information is documented in the patient note. - The claim states the Sodium is 139 mEq/L, which is correct. The patient note states "19 mg/dL, with a serum sodium level of 139 mEq/L. His glucose level was significantly elevated at 195 mg/dL. Hematologic studies revealed a hematocrit of 40%.". - The claim states the Systolic Blood Pressure is 118 mm Hg, which is correct. The patient note states "inute, and a systolic blood pressure of 118 mm Hg. Oxygen saturation on room air was noted to be suboptimal, with a partial pressure of oxygen at 82 mm Hg. Phys". - The claim states the Temperature is 37.4 degrees celsius, which is correct. The patient note states "at presentation showed a temperature of 37.4 degrees Celsius, heart rate of 92 beats per minute, respiratory rate of 18 breaths per minute, and a systolic blood". - The claim states the age is 65 years, which is correct. The patient note states "A 65-year-old male presented to the emergency department with a 4-day history of progressive shortness of breath, fever, a". - The claim states the pH is 7.37, which is correct. The patient note states "erial blood gas analysis showed a pH of 7.37, indicating no significant acid-base disturbance at the time of presentation. Chest radiography confirmed the diagn". - The claim states the respiratory rate is 18 breaths per minute, which is correct. The patient note states "2 beats per minute, respiratory rate of 18 breaths per minute, and a systolic blood pressure of 118 mm Hg. Oxygen saturation on room air was noted to be subopti". - The claim states the sex is Male, which is correct. The patient note states "A 65-year-old male presented to the emergency department with a 4-day history of progressive shortness of breath, fever, and a worseni".  Implicit Calculation Claim Verification: - Conclusion: The calculation result in the claim is 85. According to the PSI Score: Pneumonia Severity Index for CAP formula, the claim's answer matches the correct result of 85, so the calculation is 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65 years old. We add the the number of years of age of the patient to the psi score, making the current total 0 + 65 = 65. Because the patient is male, no adjustments are made to the score, keeping the current total at 65. The patient is reported to be a nursing home resident and so we add 10 points to the score, making the current total 65 + 10 = 75. Neoplastic disease is determined to be false for the patient and so we do not add any points to the current total keeping it at 75. Liver disease history is determined to be false for the patient and so we do not add any points to the current total keeping it at 75. CHF History is determined to be false for the patient and so we do not add any points to the current total keeping it at 75. Cerebrovascular disease history is determined to be false for the patient and so we do not add any points to the current total keeping it at 75. Renal Disease History is determined to be false for the patient and so we do not add any points to the current total keeping it at 75. Altered Mental Status is determined to be false for the patient and so we do not add any points to the current total keeping it at 75. Pleural effusion on x-ray is determined to be present for the patient and so we add 10 points to the score, making the current total 75 + 10 = 85. The patient's pulse is 92 beats per minute. The pulse is less than 125 beats per minute and so we do not add any points to the score, keeping it at 85. The patient's temperature is 37.4 degrees celsius. The patient's temperature is greater than 35 degrees celsius and the temperature is less than 39.9 degrees celsius, and so we do not add any points to the score, keeping the total at 85. The patient's pH is 7.37. The patient's pH is greater than or equal to 7.35, and so we do not add any points to the score, keeping the current total at 85. The patient's respiratory rate is 18 breaths per minute. The patient's respiratory rate is less than 30 breaths per minute and so we do not add any points to the score, keeping the total score at 85. The patient's systolic blood pressure is 118 mm Hg. The patient's systolic blood pressure is greater than or equal to 90 mm Hg and so we do not add any points to the score, keeping the total at 85. The concentration of BUN is 19 mg/dL. The patient's BUN is less than 30 mg/dL, and so we do not add any points to the score, keeping the total at 85. The concentration of sodium is 139 mEq/L. We need to convert the concentration to mmol/L. Let's first convert the mass of sodium from mEq to mmol. The mass of sodium is 139 mEq. To convert from 139 mEq to mmol, convert from mEq to mmol. The compound 139 has a valence of 1, and so divide the valence by the value of mEq to get, 139 mEq/(1 mEq/mmol) = 139.0 mmol sodium. The volume units is L so no volume conversion is needed. Hence, the concentration value of 139 mEq sodium/L converts to 139.0 mmol sodium/L. The patient's sodium is greater than or equal to 130 mmol/L, and so we do not add any points to the score, keeping the total at 85. The concentration of glucose is 195 mg/dL. The patient's glucose concentration is less than or equal to than 250 mg/dL, and so we not add any points to the current total, keeping it at 85. The patient's hematocrit is 40 %. The patient's hematocrit is greater than or equal to 30%, and so we not add any points to the current total, keeping it at 85. The patient's partial pressure of oxygen is 82 mm Hg. The patient's partial pressure of oxygen is greater than or equal to 60 mm Hg, and so we not add any points to the current total, keeping it at 85. The patient's PSI score is 85.</t>
  </si>
  <si>
    <t>Based on the patient's data where the Current Date is 11/16/2007, the Last menstrual date is 02/02/2008, the Estimated Gestational Age is ('4 weeks', '1 days').</t>
  </si>
  <si>
    <t>The patient's last menstrual period was on 10/16/2007. Today's date is 01/24/2008.</t>
  </si>
  <si>
    <t>The claim's Current Date (11/16/2007) is incorrect, as the actual Current Date is 01/24/2008. However, the Last menstrual date (02/02/2008) is close to the actual Last menstrual date (10/16/2007). The Estimated Gestational Age is calculated based on the Last menstrual date, and 02/02/2008 minus 10/16/2007 is approximately 4 weeks and 1 day, which matches the claim. Therefore, the claim is partially true due to the incorrect Current Date.</t>
  </si>
  <si>
    <t>Extractive Claim Verification: - The claim states the Current Date is 11/16/2007, but this is incorrect. According to the patient note, the Current Date is 01/24/2008. The patient note states "riod was on 10/16/2007. Today's date is 01/24/2008.". - The claim states the Last menstrual date is 02/02/2008, but this is incorrect. According to the patient note, the Last menstrual date is 10/16/2007. The patient note states "patient's last menstrual period was on 10/16/2007. Today's date is 01/24/2008.".  Implicit Calculation Claim Verification: - Conclusion: The calculation result in the claim is ('4 weeks', '1 days'). According to the Estimated Gestational Age formula, the correct answer should be ('14 weeks', '2 days'), but the claim states ('4 weeks', '1 days'), which does not match the correct result, so the calculation is incorrect. - Ground Truth Explanation: To compute the estimated gestational age, we compute the number of weeks and days apart today's date is from the patient's last menstrual period date. The current date is 01/24/2008 and the patient's last menstrual period date was 10/16/2007. The gap between these two dates is 14 weeks and 2 days. Hence, the estimated gestational age is 14 weeks and 2 days.</t>
  </si>
  <si>
    <t>Based on the patient's data where the Heart Rate or Pulse is 118 beats per minute, the QT Interval is 452 msec, the Corrected QT Interval is 457.6518 msec.</t>
  </si>
  <si>
    <t>A patient has a heart rate of 118 bpm and a QT interval of 452 msec.</t>
  </si>
  <si>
    <t>To determine if the claim is true, we need to calculate the Corrected QT Interval (QTc) using the Bazett's formula: QTc = QT / sqrt(RR), where RR is the interval between two heartbeats in seconds. Given the heart rate of 118 bpm, the RR interval is 60/118 = 0.508 seconds. The QT interval is 452 msec, which is 0.452 seconds. Using the formula, QTc = 0.452 / sqrt(0.508) = 0.452 / 0.711 = 0.634 seconds. However, the claim states the QTc is 457.6518 msec, which is 0.4577 seconds. This value does not match our calculation, indicating the claim is false.</t>
  </si>
  <si>
    <t>Extractive Claim Verification: - The claim states the Heart Rate or Pulse is 118 beats per minute, which is correct. The patient note states "A patient has a heart rate of 118 bpm and a QT interval of 452 msec.". - The claim states the QT Interval is 452 msec, which is correct. The patient note states "rt rate of 118 bpm and a QT interval of 452 msec.".  Implicit Calculation Claim Verification: - Conclusion: The calculation result in the claim is 457.6518 msec. According to the QTc Fridericia Calculator formula, the correct answer is 566.3045 msec. The claim's answer deviates from the correct result (difference: 19.19%, exceeding the 5% threshold), so the calculation is incorrect. - Ground Truth Explanation: The corrected QT interval using the Fredericia formula is computed as  QTc = QT interval / (RR interval)**(1/3), where ** denotes an exponent, QT interval is in msec, and RR interval is given as 60/(heart rate). The patient's heart rate is 118 beats per minute. The QT interval is 452 msec. The RR interval is computed as 60/(heart rate), and so the RR interval is 60/118 = 0.50847. Hence, plugging in these values, we will get 452/√(0.50847) = 566.30447.The patient's corrected QT interval (QTc) is 566.30447 msec.</t>
  </si>
  <si>
    <t>Based on the patient's data where the international normalized ratio is 1.44, the Ascites is moderate, the Albumin is 2.0 g/dL, the Bilirubin is 3.2 mg/dL, the Encephalopathy is No Encephalopathy, the Child-Pugh Score is 9.</t>
  </si>
  <si>
    <t>A 55-year-old man was on the waiting list for orthotopic liver transplant because of a decompensated HBV-related liver cirrhosis (MELD 16) complicated by intractable ascites for which a transjugular intrahepatic portosystemic shunt (TIPS) had been placed 5 months earlier. He was also affected by asymptomatic gallbladder stones and admitted to our unit because of sudden recurrence of abdominal distension. The patient reported a few days before severe epigastric pain that lasted for about 20 min and was spontaneously resolved; he, however, denied hematemesis or melena. At admission, physical examination revealed normal vital signs. Laboratory workup revealed a haemoglobin level of 6.4 g/dl (compared to that of 10.3 g/dl recorded 3 weeks earlier), leucocyte count of 4930/mm3, platelet count of 49/mm3, international normalised ratio of 1.44, bilirubin 3.2 mg/dl, alanine aminotransferase 25 UI/l, aspartate aminotransferase 47 UI/l, alkaline phosphatase 105 UI/l, gamma glutamyl transferase 27 UI/l, albumin 2.0 g/dl, creatinine 0.91 mg/dl and C reactive protein 48 mg/l. The patient was made to undergo urgent blood transfusion. An urgent gastroscopy revealed no varices, gastric ulcer or any other source of bleeding. An ultrasound sonography confirmed the presence of ascites and normal flow within the portal vein and the TIPS. The patient underwent diagnostic paracentesis with leakage of high-pressure blood-like fluid: the cell count analysis confirmed hemoperitoneum (haemoglobin 2.8 g/dl) and showed normal leucocyte count and no malignant cells. The analysis of the ascitic fluid also documented a transudate (total proteins &lt; 2 g/dl, LDH 162 UI/l) with high serum-ascites albumin gradient (1.4 g/dl), bilirubin concentration of 2.9 mg/dl and ascitic culture as negative. A contrast-enhanced abdomen CT-scan showed a scleroatrophic gallbladder bearing only one stone inside and irregularity along the wall, but no frank interruption while numerous radiopaque elements were evident in the pelvis alongside dense ascites (Hounsfield Units 19; uncomplicated ascites normal value 0–15) [], configuring a picture like “starry sky” (Fig. ). No ectopic gallbladder varices have been recorded. Both abdominal CT and ultrasound performed a month before described contracted gallbladder, whose lumen was completely occupied by stones. A perforation of the gallbladder with occult bleeding was therefore diagnosed. Based on absence of fever, signs of peritoneal involvement, stability of haemoglobin levels and expected waitlist time, a conservative therapeutic strategy (antibiotic therapy and control of the coagulation parameters, haemoglobin and renal function) was chosen to avoid high-risk cholecystectomy before liver transplantation. In the following days, clinical and laboratory parameters remained stable and, particularly, no fever or exacerbation of hepatic encephalopathy were observed. The patient was discharged in 15 days, asymptomatic, with a stable level of haemoglobin. Two months later, the patient underwent a successful liver transplantation. During the transplantation, the surgeon visualised the stones that had migrated into the pelvis and decided not to remove them because of an unfavourable risk-benefit ratio. The pathological report documented a scleroatrophic gallbladder with chronic inflammation but did not identify any perforation.</t>
  </si>
  <si>
    <t>To determine the accuracy of the claim, we need to calculate the Child-Pugh Score using the provided data. The Child-Pugh Score is a system used to assess the prognosis of chronic liver disease. It consists of five parameters: albumin, bilirubin, prothrombin time (INR), ascites, and encephalopathy. Each parameter is given a score, and the scores are added together to give a total score. The scores are as follows: albumin (2.5-3.5 g/dL = 1 point, &lt; 2.5 g/dL = 2 points), bilirubin (2-3 mg/dL = 1 point, &gt; 3 mg/dL = 2 points), INR (1.7-2.3 = 1 point, &gt; 2.3 = 2 points), ascites (none = 1 point, mild = 2 points, moderate = 3 points), and encephalopathy (none = 1 point, mild = 2 points, moderate = 3 points). Based on the provided data, the albumin is 2.0 g/dL (2 points), bilirubin is 3.2 mg/dL (2 points), INR is 1.44 (1 point), ascites is moderate (3 points), and encephalopathy is no encephalopathy (1 point). The total Child-Pugh Score is 2 + 2 + 1 + 3 + 1 = 9. However, the claim states that the Child-Pugh Score is 9, but the calculation is correct. The claim is accurate.</t>
  </si>
  <si>
    <t>Extractive Claim Verification: - The claim states the international normalized ratio is 1.44, which is correct. The patient note states "/mm3, international normalised ratio of 1.44, bilirubin 3.2 mg/dl, alanine aminotransferase 25 UI/l, aspartate aminotransferase 47 UI/l, alkaline phosphatase 10". - The claim states the Ascites is moderate, which is correct. This information is documented in the patient note. - The claim states the Albumin is 2.0 g/dL, which is correct. The patient note states "a glutamyl transferase 27 UI/l, albumin 2.0 g/dl, creatinine 0.91 mg/dl and C reactive protein 48 mg/l. The patient was made to undergo urgent blood transfusion". - The claim states the Bilirubin is 3.2 mg/dL, which is correct. The patient note states "nal normalised ratio of 1.44, bilirubin 3.2 mg/dl, alanine aminotransferase 25 UI/l, aspartate aminotransferase 47 UI/l, alkaline phosphatase 105 UI/l, gamma gl". - The claim states the Encephalopathy is No Encephalopathy, which is correct. This information is documented in the patient note.  Implicit Calculation Claim Verification: - Conclusion: The calculation result in the claim is 9. According to the Child-Pugh Score for Cirrhosis Mortality formula, the correct answer should be 11, but the claim states 9, which does not match the correct result, so the calculation is incorrect.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1.44. Because the INR is less than 1.7, we add 1 to the score, making the current total 0 + 1 = 1. The concentration of bilirubin is 3.2 mg/dL. Because the bilirubin concentration is greater than 3 mg/dL, we add 3 to the score, making the current total 1 + 3 = 4. The concentration of albumin is 2.0 g/dL. Because the albumin concentration is less than 2.8 g/dL, we add 3 points to the score, making the current total 4 + 3 = 7. The patient's ascites state is determined to be 'moderate' and so we add 3 points to the score, making the current total 7 + 3 = 10. The patient is determined to not have any encephalopathy and so we add one point to the score, making the current total 10 + 1 = 11. The patient's child pugh score is 11.</t>
  </si>
  <si>
    <t>Based on the patient's data where the Diastolic Blood Pressure is 75.0 mm hg, the Systolic Blood Pressure is 120.0 mm hg, the Mean Arterial Pressure is 72.5478 mm Hg.</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</si>
  <si>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</si>
  <si>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To calculate the Mean Arterial Pressure (MAP), we need to use the formula: MAP = (2 * Diastolic Blood Pressure + Systolic Blood Pressure) / 3. Given the Diastolic Blood Pressure is 75.0 mm Hg and the Systolic Blood Pressure is 120.0 mm Hg, we can plug these values into the formula: MAP = (2 * 75.0 + 120.0) / 3 = (150 + 120) / 3 = 270 / 3 = 90. Therefore, the Mean Arterial Pressure is 90.0 mm Hg, not 72.5478 mm Hg.</t>
  </si>
  <si>
    <t>Extractive Claim Verification: - The claim states the Diastolic Blood Pressure is 75.0 mm hg, which is correct. This information is documented in the patient note. - The claim states the Systolic Blood Pressure is 120.0 mm hg, which is correct. This information is documented in the patient note.  Implicit Calculation Claim Verification: - Conclusion: The calculation result in the claim is 72.5478 mm Hg. According to the Mean Arterial Pressure (MAP) formula, the correct answer is 90.0 mm Hg. The claim's answer deviates from the correct result (difference: 19.39%, exceeding the 5% threshold), so the calculation is incorrect. - Ground Truth Explanation: The mean average pressure is computed by the formula 1/3 * (systolic blood pressure) + 2/3 * (diastolic blood pressure). Plugging in the values, we get 1/3 * 120.0 mm Hg + 2/3 * 75.0 mm Hg = 90.0 mm Hg. Hence, the patient's mean arterial pressure is 90.0 mm Hg.</t>
  </si>
  <si>
    <t>Based on the patient's data where the Pre-operative creatinine is 0.7 mg/dL, the Elevated-risk surgery is yes, the age is 51 years, the Cardiac Risk Index Score is 1.</t>
  </si>
  <si>
    <t>A 51-year-old female visited us due to asymptomatic macroscopic hematuria persisting for two weeks. She had experienced discomfort, not pain, in the stomach. She had been followed up at another clinic for polycythemia for several years. Cystoscopy revealed a nonpapillary tumor about 2 cm in diameter, emanating from the left ureteral orifice (). Blood results at presentation showed Hb 14.8 g/dL, Cr 0.7 mg/dL, estimated GFR 68.1 mL/min, WBC 6.6 × 103/μL, CRP 5.35 mg/dL, LDH 184 IU/L, and Ca2+ 9.9 mg/dL. Urine cytology was negative for malignant cells. Contrast enhanced CT showed an unevenly contrasted tumor, infiltrating almost all renal parenchyma, filling the renal pelvis and ureter, and extending into the urinary bladder (). There were no apparent metastases to lung, liver, adrenal glands, or lymph nodes. With a tentative diagnosis of renal pelvic tumor, we didnot perform perioperative biopsy, and she underwent nephroureterectomy with hilar lymph node dissection. Macroscopically the tumor almost replaced the whole kidney. The renal pelvis and ureter were extensively packed with the tumor. Histological examination () revealed a clear cell RCC, grade 2 &gt; 1, with microvascular invasion, Fuhrman grade 2, without any sarcomatoid elements. There was no evidence of a venous thrombus or metastasis to lymph nodes. Leibovich score was 6. Postoperative course was uneventful, but 6 months later multiple pulmonary metastases were detected.</t>
  </si>
  <si>
    <t>The claim states that the Elevated-risk surgery is yes, based on the provided data. The Cardiac Risk Index Score is 1, which is generally considered low risk. However, the patient's age (51 years) is not typically considered high risk for cardiac complications. The pre-operative creatinine level (0.7 mg/dL) is within normal limits, which suggests that the patient's kidney function is not significantly impaired. The American Society of Anesthesiologists (ASA) Physical Status Classification System is often used to assess the risk of surgery, and a score of 1 is considered normal. The patient's overall clinical presentation and laboratory results do not suggest any significant cardiac or renal risk factors that would elevate the risk of surgery. Therefore, the claim that Elevated-risk surgery is yes is likely incorrect.</t>
  </si>
  <si>
    <t>Extractive Claim Verification: - The claim states the Pre-operative creatinine is 0.7 mg/dL, which is correct. The patient note states "at presentation showed Hb 14.8 g/dL, Cr 0.7 mg/dL, estimated GFR 68.1 mL/min, WBC 6.6 × 103/μL, CRP 5.35 mg/dL, LDH 184 IU/L, and Ca2+ 9.9 mg/dL. Urine cytology". - The claim states the Elevated-risk surgery is yes, which is correct. This information is documented in the patient note. - The claim states the age is 51 years, which is correct. The patient note states "A 51-year-old female visited us due to asymptomatic macroscopic hematuria persisting for two weeks. She had experienced di".  Implicit Calculation Claim Verification: - Conclusion: The calculation result in the claim is 1. According to the Revised Cardiac Risk Index for Pre-Operative Risk formula, the claim's answer matches the correct result of 1, so the calculation is 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Based on the patient note, an elevated risk surgery is determined to be present for the patient. This means that we increment the score by one and the current total will be 0 + 1 = 1. The patient note does not mention anything about a history of ischemetic heart disease and is assumed to be absent. This means that the total score remains unchanged at 1. The patient note does not mention anything about a history of congestive heart failure and is assumed to be absent. This means that the total score remains unchanged at 1. The patient note does not mention anything about a history of cerebrovascular disease and is assumed to be absent. This means that the total score remains unchanged at 1. The patient note does not mention anything about a pre-operative insulin treatment and is assumed to be absent. This means that the total score remains unchanged at 1. The concentration of Pre-Operative Creatinine is 0.7 mg/dL. The patient's pre-operative creatinine is less than or equal to 2 mg/dL, so we keep the score the same at 1.  The cardiac risk index score is 1.</t>
  </si>
  <si>
    <t>Based on the patient's data where the input steroid is Cortisone PO 260.997, the target steroid is Betamethasone IV, the Equivalent Steroid Dosage is 7.8299 mg.</t>
  </si>
  <si>
    <t>Patient has taken 260.997 mg of Cortisone PO.</t>
  </si>
  <si>
    <t>To verify the claim, we need to know the conversion factor between Cortisone and Betamethasone. The conversion factor is approximately 1.5-1.6 mg of Betamethasone to 1 mg of Cortisone. Given the patient's dose of 260.997 mg of Cortisone, we can calculate the equivalent dose of Betamethasone. Assuming a conversion factor of 1.55 (midpoint of the range), the equivalent dose of Betamethasone would be 260.997 mg * 1.55 = 404.47 mg. This is significantly different from the claimed 7.8299 mg, indicating the claim is likely incorrect.</t>
  </si>
  <si>
    <t>Extractive Claim Verification: - The claim states the input steroid is Cortisone PO 260.997, which is correct. The patient note states "Patient has taken 260.997 mg of Cortisone PO.". - The claim states the target steroid is Betamethasone IV, which is correct. This information is documented in the patient note.  Implicit Calculation Claim Verification: - Conclusion: The calculation result in the claim is 7.8299 mg. According to the Steroid Conversion Calculator formula, the correct answer is 7.8299 mg. The claim's answer is within 5% of the correct result (difference: 0.00%), so the calculation is correct. - Ground Truth Explanation: The Steroid Conversions providing equivalent doses for various corticosteroids are listed below: 1. Betamethasone: Route = IV, Equivalent Dose = 0.75 mg 2. Cortisone: Route = PO, Equivalent Dose = 25 mg 3. Dexamethasone (Decadron): Route = IV or PO, Equivalent Dose = 0.75 mg 4. Hydrocortisone: Route = IV or PO, Equivalent Dose = 20 mg 5. MethylPrednisoLONE: Route = IV or PO, Equivalent Dose = 4 mg 6. PrednisoLONE: Route = PO, Equivalent Dose = 5 mg 7. PredniSONE: Route = PO, Equivalent Dose = 5 mg 8. Triamcinolone: Route = IV, Equivalent Dose = 4 mg  The mass of Cortisone PO is 260.997 mg.  To convert from the Cortisone PO to Betamethasone IV, multiply by the conversion factor, 0.03 mg Betamethasone IV/Cortisone PO, giving us 260.997 mg Cortisone PO * 0.03 mg Betamethasone IV/mg Cortisone PO = 7.82991 mg Betamethasone IV. 260.997 mg of Cortisone PO is equal to 7.82991 mg of Betamethasone IV.</t>
  </si>
  <si>
    <t>Based on the patient's data where the creatinine is 0.25 mg/dL, the Urine sodium is 16.0 mmol/L, the Urine creatinine is 6.8 mg/dL, the Sodium is 123.0 mmol/L, the FEna Percentage is 0.4165 %.</t>
  </si>
  <si>
    <t>A 50-year-old male visited our emergency room(ER) because of generalized edema. He appeared remarkably swollen during the past week, with associated reduced urine output. There was no history of body weight change as the patient was bed-ridden. Specifically, he previously had no edematous disorders including congestive heart failure, nephrotic syndrome, liver cirrhosis, and hypothyroidism. Fourteen years earlier, he was diagnosed with ALS when he was admitted due to quadriparesis. Motor neuron disease was confirmed by electromyography and muscle biopsy. Involvement of the autonomic nervous system in the disease process was noted, and tracheostomy and feeding gastrostomy were in place. In addition, the patient was being supported by a home ventilator. On physical examination, vital signs were stable: blood pressure 144/89 mmHg, pulse rate 90/min, respiratory rate 22/min, and body temperature 35.0℃. Peripheral edema was remarkable at the neck, hands, and feet. Initial laboratory findings were as follows: hemoglobin 10.8 g/dL, white blood cells 17,300/mm3, platelet 199,000/mm3, blood urea nitrogen 20.8 mg/dL, and serum creatinine 0.25 mg/dL. Urinalysis showed a specific gravity of 1.015, albumin 1+, 5–9 RBCs per HPF, and many white blood cells. Serum sodium was 123 mmol/L, potassium 3.7 mmol/L, chloride 87 mmol/L, and total CO2 20.7 mmol/L. Urine sodium was 16 mmol/L, potassium 29 mmol/L, chloride 17 mmol/L, creatinine 6.8 mg/dL, and urea nitrogen 425 mg/dL. Serum and urine osmolality were 268 and 405 mOsm/kg H2O, respectively. Chest X-ray showed partial atelectasis of both lower lung lobes (). In the ER, isotonic saline was infused to treat hyponatremia at a rate of 40 mL/h. Follow-up tests done at admission showed serum sodium 127 mmol/L, urine osmolality 223 mOsm/kg H2O, urine sodium 12 mmol/L, urine potassium 8 mmol/L, urine chloride 7 mmol/L, and urine creatinine 2.5 mg/dL. Serum uric acid was 7.3 mg/dL, albumin was 2.8 g/dL, brain natriuretic peptide (BNP) was 93 pg/mL, and C-reactive protein was 33.7 mg/dL. Gram-negative bacilli and Gram-positive cocci were present in the urine, but they were not identified due to low abundance. Thyroid hormones T3 and free T4 were normal, serum adrenocorticotropic hormone (ACTH) was 63 pg/mL, and the peak level of serum cortisol in response to rapid ACTH stimulation was 48.6 µg/dL. shows the changes in serum sodium concentration and urine volume during the admission. Soon after admission, serum sodium dropped to 121 mmol/L despite isotonic saline infusion. Notably, true oliguria (200 mL/d) was encountered in association with increasing edema. We had to use intravenous furosemide, and a small volume (500 mL) of 3% saline was given once. The patient's oliguria persisted for 3 days, at which time generalized aggravation of the patient's edema was noted, and hyponatremia was not improved by diuretic therapy (). Intravenous furosemide was gradually increased (10 to 60mg) and was finally administered by continuous infusion (240 mg/d). Furosemide was switched into tolvaptan to treat hypervolemic hyponatremia. The initial dose of tolvaptan 15 mg induced an increase in urine output (1,500 mL/d), while serum sodium remained the same (121 mmol/L). On the following day, polyuria was induced by tolvaptan 30 mg in association with an improvement in hyponatremia (). Urine sodium increased from 12 to 56 mmol/L, and urine osmolality decreased from 223 to 147 mOsm/kg H2O. When the serum sodium approached 130 mmol/L, the daily dose of tolvaptan was reduced to 15 mg. Over the next 2 weeks, the patient's edematous state, urine volume, and hyponatremia were stabilized with continued tolvaptan therapy. Following discharge, having been off tolvaptan for approximately one month, the patient's serum sodium concentration was 132 mmol/L.</t>
  </si>
  <si>
    <t>To determine the validity of the claim, we need to calculate the fractional excretion of sodium (FEna) using the formula: FEna = (Urine sodium / Serum sodium) / (Urine creatinine / Serum creatinine) * 100. Given the values, FEna = (16.0 / 123.0) / (6.8 / 0.25) * 100 = 0.4165%. This calculation matches the provided FEna percentage, indicating that the claim is accurate.</t>
  </si>
  <si>
    <t>Extractive Claim Verification: - The claim states the creatinine is 0.25 mg/dL, which is correct. The patient note states "trogen 20.8 mg/dL, and serum creatinine 0.25 mg/dL. Urinalysis showed a specific gravity of 1.015, albumin 1+, 5–9 RBCs per HPF, and many white blood cells. Ser". - The claim states the Urine sodium is 16.0 mmol/L, which is correct. This information is documented in the patient note. - The claim states the Urine creatinine is 6.8 mg/dL, which is correct. The patient note states "mmol/L, chloride 17 mmol/L, creatinine 6.8 mg/dL, and urea nitrogen 425 mg/dL. Serum and urine osmolality were 268 and 405 mOsm/kg H2O, respectively. Chest X-r". - The claim states the Sodium is 123.0 mmol/L, which is correct. This information is documented in the patient note.  Implicit Calculation Claim Verification: - Conclusion: The calculation result in the claim is 0.4165 %. According to the Fractional Excretion of Sodium (FENa) formula, the correct answer is 0.4782 %. The claim's answer deviates from the correct result (difference: 12.91%, exceeding the 5% threshold), so the calculation is incorrect. - Ground Truth Explanation: The formula for computing the FEna percentage is (creatinine * urine_sodium)/(sodium * urine_creatinine) * 100, where creatinine is the concentration in mg/dL, urine sodium is the concentration in mEq/L, sodium is the concentration mEq/L, and urine creatinine is the concentration in mg/dL. The concentration of sodium is 123.0 mmol/L. We need to convert the concentration to mEq/L. Let's first convert the mass of sodium from mmol to mEq. The mass of sodium is 123.0 mmol. The compound, sodium, has a valence of 1, and so multiply the valence by the value of mmol to get, 123.0 mmol * 1 mEq/mmol = 123.0 mEq sodium. The volume units is L so no volume conversion is needed. Hence, the concentration value of 123.0 mmol sodium/L converts to 123.0 mEq sodium/L.  The concentration of creatinine is 0.25 mg/dL.  The concentration of urine creatinine is 6.8 mg/dL.  The concentration of urine sodium is 16.0 mmol/L. We need to convert the concentration to mEq/L. Let's first convert the mass of urine sodium from mmol to mEq. The mass of urine sodium is 16.0 mmol. The compound, urine sodium, has a valence of 1, and so multiply the valence by the value of mmol to get, 16.0 mmol * 1 mEq/mmol = 16.0 mEq urine sodium. The volume units is L so no volume conversion is needed. Hence, the concentration value of 16.0 mmol urine sodium/L converts to 16.0 mEq urine sodium/L.  Plugging in these values, we get 100 * (0.25 * 16.0)/(123.0 * 6.8) = 0.47824 % FENa. Hence, the patient's FEna percentage is 0.47824 %.</t>
  </si>
  <si>
    <t>Based on the patient's data where the Heart Rate or Pulse is 84 beats per minute, the QT Interval is 496 msec, the Corrected QT Interval is 632.3956 msec.</t>
  </si>
  <si>
    <t>A patient has a heart rate of 84 bpm and a QT interval of 496 msec.</t>
  </si>
  <si>
    <t>To determine if the claim is true, we need to calculate the Corrected QT Interval (QTc) using the Bazett's formula: QTc = QT / sqrt(RR), where RR is the interval between heartbeats in seconds. Given the heart rate of 84 bpm, we can calculate the RR interval as 60 / 84 = 0.7143 seconds. Then, we can calculate the QTc as QT / sqrt(RR) = 496 / sqrt(0.7143) = 496 / 0.8435 = 587.35 msec. The claim states that the QTc is 632.3956 msec, which is higher than our calculated value. Therefore, the claim is false.</t>
  </si>
  <si>
    <t>Extractive Claim Verification: - The claim states the Heart Rate or Pulse is 84 beats per minute, which is correct. The patient note states "A patient has a heart rate of 84 bpm and a QT interval of 496 msec.". - The claim states the QT Interval is 496 msec, which is correct. The patient note states "art rate of 84 bpm and a QT interval of 496 msec.".  Implicit Calculation Claim Verification: - Conclusion: The calculation result in the claim is 632.3956 msec. According to the QTc Framingham Calculator formula, the correct answer is 539.9993 msec. The claim's answer deviates from the correct result (difference: 17.11%, exceeding the 5% threshold), so the calculation is incorrect. - Ground Truth Explanation: The corrected QT interval using the Framingham formula is computed as  QTc = QT Interval + (154 * (1 - rr_interval_sec)), where QT interval is in msec, and RR interval is given as 60/(heart rate). The patient's heart rate is 84 beats per minute. The QT interval is 496 msec. The RR interval is computed as 60/(heart rate), and so the RR interval is 60/84 = 0.71429. Hence, plugging in these values, we will get 496/(154 * ( 1- 0.71429 )) = 539.99934. The patient's corrected QT interval (QTc) is 539.99934 msec.</t>
  </si>
  <si>
    <t>Based on the patient's data where the Alternative diagnosis to Deep Vein Thrombosis as likely or more likely is yes, the Bedridden recently &gt;3 days is no, the Major surgery within 12 weeks is yes, the Well's DVT Score is -2.</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</si>
  <si>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</si>
  <si>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The claim is based on the Well's DVT (Deep Vein Thrombosis) Score, which is a clinical prediction rule for assessing the risk of DVT. The score is calculated based on the following criteria: Bedridden recently &gt;3 days (1 point), Major surgery within 12 weeks (1 point), and Alternative diagnosis to DVT as likely or more likely (1 point). The score is then calculated as follows: -2 for each point not present, and +2 for each point present. In this case, the patient is not bedridden recently &gt;3 days (no), has had major surgery within 12 weeks (yes), and the alternative diagnosis to DVT is likely or more likely (yes). Therefore, the score is -2 for not being bedridden, +2 for major surgery, and -2 for alternative diagnosis, resulting in a total score of -2.</t>
  </si>
  <si>
    <t>Extractive Claim Verification: - The claim states the Alternative diagnosis to Deep Vein Thrombosis as likely or more likely is yes, which is correct. This information is documented in the patient note. - The claim states the Bedridden recently &gt;3 days is no,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correct answer should be -1, but the claim states -2, which does not match the correct result, so the calculation is incorrect.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absent.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The issue,'paralysis, paresis, or recent plaster immobilization of the lower extremity,' is missing from the patient note and so the value is assumed to be absent from the patient. Hence, a point should not be given, and so total remains at 1. The issue,'previously documented DVT,' is missing from the patient note and so the value is assumed to be absent from the patient. Hence, a point should not be given, and so total remains at 1. From the patient's note, the criterion, 'alternative diagnosis to DVT as likely or more likely,' is present. Hence, we decrease the score by 2 and so total is 1 - 2 = -1. The Well's DVT score for the patient is -1.</t>
  </si>
  <si>
    <t>Based on the patient's data where the Heart Rate or Pulse is 143 beats per minute, the QT Interval is 288 msec, the Corrected QT Interval is 374.4547 msec.</t>
  </si>
  <si>
    <t>A patient has a heart rate of 143 bpm and a QT interval of 288 msec.</t>
  </si>
  <si>
    <t>To determine if the claim is true, we need to calculate the Corrected QT Interval (QTc) using the Bazett's formula: QTc = QT / sqrt(RR), where RR is the interval between heartbeats in seconds. Given the heart rate of 143 bpm, the RR interval is 1/143 minutes or 0.00699 hours, which is approximately 0.0004167 hours. Converting this to seconds, we get 0.0004167 * 3600 = 1.5 seconds. The QT interval is 288 msec or 0.288 seconds. Using the Bazett's formula, QTc = 0.288 / sqrt(1.5) = 0.288 / 1.2247 = 0.2353 seconds or 235.3 msec. The claim states the QTc is 374.4547 msec, which is incorrect.</t>
  </si>
  <si>
    <t>Extractive Claim Verification: - The claim states the Heart Rate or Pulse is 143 beats per minute, which is correct. The patient note states "A patient has a heart rate of 143 bpm and a QT interval of 288 msec.". - The claim states the QT Interval is 288 msec, which is correct. The patient note states "rt rate of 143 bpm and a QT interval of 288 msec.".  Implicit Calculation Claim Verification: - Conclusion: The calculation result in the claim is 374.4547 msec. According to the QTc Hodges Calculator formula, the correct answer is 433.2502 msec. The claim's answer deviates from the correct result (difference: 13.57%,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143 beats per minute. The QT interval is 288 msec. The RR interval is computed as 60/(heart rate), and so the RR interval is 60/143 = 0.41958. Hence, plugging in these values, we will get 288 + 1.75 * [(60/0.41958) - 60] = 433.25025. The patient's corrected QT interval (QTc) is 433.25025 msec.</t>
  </si>
  <si>
    <t>Based on the patient's data where the Sodium is 135.0 mmol/L, the Chloride is 105.0 mmol/L, the Bicarbonate is 6.0 mmol/L, the Delta Gap is 10.1816 mEq/L.</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</si>
  <si>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bicarbonate 6 mmol/L (normal range: 21-32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</si>
  <si>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The Delta Gap is calculated as (Bicarbonate - Chloride) - (Sodium - 40). Given the values, the calculation is (6 - 105) - (135 - 40) = -99 - 95 = -194. However, the claim states the Delta Gap is 10.1816 mEq/L. This value is significantly different from the calculated value, indicating the claim is incorrect.</t>
  </si>
  <si>
    <t>Extractive Claim Verification: - The claim states the Sodium is 135.0 mmol/L, which is correct. This information is documented in the patient note. - The claim states the Chloride is 105.0 mmol/L, which is correct. This information is documented in the patient note. - The claim states the Bicarbonate is 6.0 mmol/L, which is correct. This information is documented in the patient note.  Implicit Calculation Claim Verification: - Conclusion: The calculation result in the claim is 10.1816 mEq/L. According to the Delta Gap formula, the correct answer is 12.0 mEq/L. The claim's answer deviates from the correct result (difference: 15.15%, exceeding the 5% threshold), so the calculation is incorrect. - Ground Truth Explanation: To compute the formula of the delta gap, the formula is anion gap (in mEq/L) - 12. The first step is to compute the patient's anion gap. The formula for computing a patient's anion gap is: sodium (mEq/L) - (chloride (mEq/L)+ bicarbonate (mEq/L)). The concentration of sodium is 135.0 mmol/L. We need to convert the concentration to mEq/L. Let's first convert the mass of sodium from mmol to mEq. The mass of sodium is 135.0 mmol. The compound, sodium, has a valence of 1, and so multiply the valence by the value of mmol to get, 135.0 mmol * 1 mEq/mmol = 135.0 mEq sodium. The volume units is L so no volume conversion is needed. Hence, the concentration value of 135.0 mmol sodium/L converts to 135.0 mEq sodium/L.  The concentration of chloride is 105.0 mmol/L. We need to convert the concentration to mEq/L. Let's first convert the mass of chloride from mmol to mEq. The mass of chloride is 105.0 mmol. The compound, chloride, has a valence of 1, and so multiply the valence by the value of mmol to get, 105.0 mmol * 1 mEq/mmol = 105.0 mEq chloride. The volume units is L so no volume conversion is needed. Hence, the concentration value of 105.0 mmol chloride/L converts to 105.0 mEq chloride/L.  The concentration of bicarbonate is 6.0 mmol/L. We need to convert the concentration to mEq/L. Let's first convert the mass of bicarbonate from mmol to mEq. The mass of bicarbonate is 6.0 mmol. The compound, bicarbonate, has a valence of 1, and so multiply the valence by the value of mmol to get, 6.0 mmol * 1 mEq/mmol = 6.0 mEq bicarbonate. The volume units is L so no volume conversion is needed. Hence, the concentration value of 6.0 mmol bicarbonate/L converts to 6.0 mEq bicarbonate/L.  Plugging in these values into the anion gap formula gives us 135.0 mEq/L - (105.0 mEq/L + 6.0 mEq/L) = 24.0 mEq/L. Hence, The patient's anion gap is 24.0 mEq/L.Plugging in 24.0 mEq/L for the delta gap formula, we get 24.0 - 12 = 12.0 mEq/L. Hence, the patient's delta gap is 12.0 mEq/L.</t>
  </si>
  <si>
    <t>Based on the patient's data where the Glucose is 1160.0 mg/dL, the Sodium is 101.0 mEq/L, the Corrected Concentration of Sodium is 117.5198 mEq/L.</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</si>
  <si>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</si>
  <si>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The claim mentions a glucose level of 1160.0 mg/dL, but the actual glucose level in the evidence is 1010 mg/dL, which is lower than the claimed value. Additionally, the claim mentions a sodium level of 101.0 mEq/L, but the actual sodium level in the evidence is 116 mEq/L, which is lower than the claimed value. However, the claim also mentions a corrected concentration of sodium, which is not provided in the evidence. The corrected sodium concentration is calculated using the formula: Corrected Na = Measured Na + (Glucose / 100) - (BUN / 100). Using the provided values, the corrected sodium concentration is: Corrected Na = 116 + (1010 / 100) - (50 / 100) = 116 + 10.1 - 0.5 = 125.6 mEq/L. This value is different from the claimed value of 117.5198 mEq/L. Therefore, the claim is partially true because it contains inaccuracies.</t>
  </si>
  <si>
    <t>Extractive Claim Verification: - The claim states the Glucose is 1160.0 mg/dL, but this is incorrect. According to the patient note, the Glucose is 1010.0 mg/dL. This information is documented in the patient note. - The claim states the Sodium is 101.0 mEq/L, but this is incorrect. According to the patient note, the Sodium is 116.0 mEq/L. This information is documented in the patient note.  Implicit Calculation Claim Verification: - Conclusion: The calculation result in the claim is 117.5198 mEq/L. According to the Sodium Correction for Hyperglycemia formula, the correct answer is 137.84 mEq/L. The claim's answer deviates from the correct result (difference: 14.74%,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116.0 mEq/L.  The concentration of glucose is 1010.0 mg/dL.  Plugging in these values into the formula gives us 116.0 mEq/L + 0.024 * (1010.0 - 100) = 137.84 mEq/L. Hence, the patient's corrected concentration of sodium is 137.84 mEq/L.</t>
  </si>
  <si>
    <t>Based on the patient's data where the Heart Rate or Pulse is 60 beats per minute, the Blood Urea Nitrogen (BUN) is 18 mg/dL, the sex is Female, the Hemoglobin is 10.4 g/dL, the Systolic Blood Pressure is 110 mm Hg, the Glasgow Bleeding Score is 1.</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</si>
  <si>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t>
  </si>
  <si>
    <t>The claim mentions the Glasgow Bleeding Score is 1. However, the provided data does not include any information about the Glasgow Bleeding Score. The Glasgow Bleeding Score is typically used to assess the severity of gastrointestinal bleeding, but it is not mentioned in the patient's data. The other parameters mentioned in the claim (Heart Rate or Pulse is 60 beats per minute, the Blood Urea Nitrogen (BUN) is 18 mg/dL, the sex is Female, the Hemoglobin is 10.4 g/dL, the Systolic Blood Pressure is 110 mm Hg) are present in the patient's data. Therefore, the claim is partially true because it contains inaccuracies (the absence of the Glasgow Bleeding Score) and important omissions (the absence of other relevant information).</t>
  </si>
  <si>
    <t>Extractive Claim Verification: - The claim states the Heart Rate or Pulse is 60 beats per minute, which is correct. The patient note states "temperature is 37°C (98.6°F), pulse is 60/min, respirations are 13/min, and blood pressure is 110/70 mm Hg. Cardiopulmonary examination shows no abnormalities.". - The claim states the Blood Urea Nitrogen (BUN) is 18 mg/dL, which is correct. The patient note states "4.9 mEq/L HCO3- 22 mEq/L Urea nitrogen 18 mg/dL Creatinine 0.6 mg/dL Antinuclear antibodies negative Perinuclear antineutrophil cytoplasmic antibodies positive". - The claim states the sex is Female, which is correct. This information is documented in the patient note. - The claim states the Hemoglobin is 10.4 g/dL, which is correct. The patient note states "es. Laboratory studies show: Hemoglobin 10.4 g/dL Leukocyte count 10,800/mm3 Platelet count 450,000/mm3 Serum Na+ 138 mEq/L Cl- 103 mEq/L K+ 4.9 mEq/L HCO3- 22". - The claim states the Systolic Blood Pressure is 110 mm Hg, which is correct. The patient note states "tions are 13/min, and blood pressure is 110/70 mm Hg. Cardiopulmonary examination shows no abnormalities. The abdomen is soft and there is tenderness to palpati".  Implicit Calculation Claim Verification: - Conclusion: The calculation result in the claim is 1. According to the Glasgow-Blatchford Bleeding Score (GBS) formula, the claim's answer matches the correct result of 1, so the calculation is correct. - Ground Truth Explanation: The criteria for the Glasgow-Blatchford Score are listed below:  1. BUN (mg/dL): &lt;18.2 = 0 points, 18.2-22.3 = +2 points, 22.4-28 = +3 points, 28-70 = +4 points, &gt;70 = +6 points 2. Hemoglobin (g/dL) for men: &gt;=13 = 0 points, &lt;=12-13 = +1 point, &lt;=10-12 = +3 points, &lt;10 = +6 points 3. Hemoglobin (g/dL) for women: &gt;=12 = 0 points, &lt;=10-12 = +1 point, &lt;10 = +6 points 4. Systolic blood pressure (mm Hg): ≥110 = 0 points, 100-109 = +1 point, 90-99 = +2 points, &lt;90 = +3 points 5. Pulse ≥100 (per minute): No = 0 points, Yes = +1 point 6. Melena present: No = 0 points, Yes = +1 point 7. Presentation with syncope: No = 0 points, Yes = +1 point 8. Liver disease history: No = 0 points, Yes = +1 point 9. Cardiac failure present: No = 0 points, Yes = +1 point  The total Glasgow-Blatchford Score is calculated by summing the points for each criterion.      The current glasgow bleeding score is 0. The patient's gender is Female. The concentration of hemoglobin is 10.4 g/dL. Because the patient is a female and her hemoglobin concentration is greater than or equal to 10 g/dL, but less than 12 g/dL, we add one point, making the current score 0 + 1 = 1. The concentration of BUN is 18 mg/dL. The BUN concentration is less than 18.2 mg/dL, and so we do not make any changes to the score, keeping the score at 1. The patient's blood pressure is 110 mm Hg. Because the patient's systolic blood pressure is greater than or equal to 110 mm Hg, we do not add points to the score, keeping the current score at 1. The patient's heart rate is 60 beats per minute. Because the heart rate is less than 100 beats per minute, we do not change the score, keeping the current score at 1. The patient's status for melena is missing from the patient note and so we assume it is absent from the patient. Hence, we do not add any points to the score, keeping it at 1. The patient's status for recent syncope is missing from the patient note and so we assume it is absent from the patient. Hence, we do not add any points to the score, keeping it at 1. The patient's status for hepatic disease history is missing from the patient note and so we assume it is absent from the patient. Hence, we do not add any points to the score, keeping it at 1. The patient's status for cardiac failure is missing from the patient note and so we assume it is absent from the patient. Hence, we do not add any points to the score, keeping it at 1. The patient's Glasgow Bleeding Score is 1.</t>
  </si>
  <si>
    <t>Based on the patient's data where the sex is Male, the height is 178.0 cm, the IBW is 73.1812 kg.</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</si>
  <si>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</si>
  <si>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The claim is about calculating the ideal body weight (IBW) of the patient. The given formula for IBW is not provided, but it is known that for men, IBW (in kg) = 50 + 0.91 * height (in cm). Using this formula, IBW = 50 + 0.91 * 178 = 50 + 161.18 = 211.18 kg. However, the claim states that the IBW is 73.1812 kg, which is significantly lower than the calculated value. This discrepancy suggests that the claim is incorrect.</t>
  </si>
  <si>
    <t>Extractive Claim Verification: - The claim states the sex is Male, which is correct. The patient note states "A male in his early 60s had been living in his car. He was found dead in the car approximately 1 month after he had last b". - The claim states the height is 178.0 cm, which is correct. This information is documented in the patient note.  Implicit Calculation Claim Verification: - Conclusion: The calculation result in the claim is 73.1812 kg. According to the Ideal Body Weight formula, the correct answer is 73.1812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178.0 cm, which is 178.0 cm * 0.393701 in/cm = 70.07878 in.  Plugging in the values for the IBW formula for males gives us 50 kg + 2.3 kg * (70.07878 (in inches) - 60) = 73.18119 kg. Hence, the patient's IBW is 73.18119 kg.</t>
  </si>
  <si>
    <t>Based on the patient's data where the Heart Rate or Pulse is 70 beats per minute, the QT Interval is 310 msec, the Corrected QT Interval is 332.0004 msec.</t>
  </si>
  <si>
    <t>A patient has a heart rate of 70 bpm and a QT interval of 310 msec.</t>
  </si>
  <si>
    <t>To determine if the claim is true, we need to calculate the Corrected QT Interval (QTc) using the Bazett's formula: QTc = QT / sqrt(RR), where RR is the interval between heartbeats in seconds. Given the heart rate of 70 bpm, the RR interval is 1/70 = 0.01429 seconds. The QT interval is 310 msec, which is 0.31 seconds. Using the formula, QTc = 0.31 / sqrt(0.01429) = 0.31 / 0.1199 = 2.585 seconds. However, the claim states the QTc is 332.0004 msec, which is 3.32 seconds. This value is incorrect.</t>
  </si>
  <si>
    <t>Extractive Claim Verification: - The claim states the Heart Rate or Pulse is 70 beats per minute, which is correct. The patient note states "A patient has a heart rate of 70 bpm and a QT interval of 310 msec.". - The claim states the QT Interval is 310 msec, which is correct. The patient note states "art rate of 70 bpm and a QT interval of 310 msec.".  Implicit Calculation Claim Verification: - Conclusion: The calculation result in the claim is 332.0004 msec. According to the QTc Framingham Calculator formula, the correct answer is 332.0004 msec. The claim's answer is within 5% of the correct result (difference: 0.00%), so the calculation is correct. - Ground Truth Explanation: The corrected QT interval using the Framingham formula is computed as  QTc = QT Interval + (154 * (1 - rr_interval_sec)), where QT interval is in msec, and RR interval is given as 60/(heart rate). The patient's heart rate is 70 beats per minute. The QT interval is 310 msec. The RR interval is computed as 60/(heart rate), and so the RR interval is 60/70 = 0.85714. Hence, plugging in these values, we will get 310/(154 * ( 1- 0.85714 )) = 332.00044. The patient's corrected QT interval (QTc) is 332.00044 msec.</t>
  </si>
  <si>
    <t>Based on the patient's data where the Heart Rate or Pulse is 161 beats per minute, the QT Interval is 443 msec, the Corrected QT Interval is 619.7506 msec.</t>
  </si>
  <si>
    <t>A patient has a heart rate of 161 bpm and a QT interval of 443 msec.</t>
  </si>
  <si>
    <t>To determine if the claim is true, we need to calculate the Corrected QT Interval (QTc) using the Bazett's formula: QTc = QT / sqrt(RR), where RR is the interval between heartbeats in seconds. Given the heart rate of 161 bpm, the RR interval is 0.3846 seconds (60 seconds / 156 beats). The QTc is then calculated as 443 / sqrt(0.3846) = 443 / 0.6247 = 708.5 msec. The claim states the QTc is 619.7506 msec, which is incorrect.</t>
  </si>
  <si>
    <t>Extractive Claim Verification: - The claim states the Heart Rate or Pulse is 161 beats per minute, which is correct. The patient note states "A patient has a heart rate of 161 bpm and a QT interval of 443 msec.". - The claim states the QT Interval is 443 msec, which is correct. The patient note states "rt rate of 161 bpm and a QT interval of 443 msec.".  Implicit Calculation Claim Verification: - Conclusion: The calculation result in the claim is 619.7506 msec. According to the QTc Hodges Calculator formula, the correct answer is 619.7506 msec. The claim's answer is within 5% of the correct result (difference: 0.00%), so the calculation is correct. - Ground Truth Explanation: The corrected QT interval using the Hodges formula is computed as  QTc = QT interval + 1.75 * [(60 /rr_interval_sec) - 60], where QT interval is in msec, and RR interval is given as 60/(heart rate). The patient's heart rate is 161 beats per minute. The QT interval is 443 msec. The RR interval is computed as 60/(heart rate), and so the RR interval is 60/161 = 0.37267. Hence, plugging in these values, we will get 443 + 1.75 * [(60/0.37267) - 60] = 619.75061. The patient's corrected QT interval (QTc) is 619.75061 msec.</t>
  </si>
  <si>
    <t>Based on the patient's data where the Glucose is 30.3 mmol/L, the Sodium is 133.0 mmol/L, the Corrected Concentration of Sodium is 166.3991 mEq/L.</t>
  </si>
  <si>
    <t>A 58-year-old Saudi diabetic female presented with left-sided involuntary movements. Unilateral movement was continuous, choreoathetotic, purposeless, non-stereotyped, and involved the face (twitching) and upper and lower extremities. It developed subacutely over 2 weeks. The movement was distressful to the patient and interfered with her activities of daily living and gait, causing recurrent falls. However, it ceased during sleep. She had poorly controlled diabetes for approximately 20 years, and was maintained on oral hypoglycemic agents. She was not on hormone replacement therapy or any other medications to which these symptoms could be attributed. There was no family history of movement disorders, and no clinical features suggestive of connective tissue diseases. Past medical history was of no relevance. Apart from the hemichorea involving the left side of the face and upper and lower extremities, her neurological examination was unremarkable; with normal higher mental function, and normal cranial and sensory nerve examination. On admission, she was hyperglycemic with a random serum glucose of 30.3 mmol/L, (normal level &lt;6.5 mmol/L); and her glycosylated hemoglobin was 13.5%, normal level=4-6%. Urine was negative for ketones. Expectedly, serum potassium was 5.6 mmol/L (normal level=3.5-5.0 mmol/L), and sodium was 133 mmol/L, (normal level=135-145 mmol/L), but other electrolytes were normal. Her blood count, coagulation profile, liver function tests, vitamin B12, and thyroid-stimulating hormone were all within normal. Lipid profile showed dyslipidemia (cholesterol 9.81 mmol/L, triglycerides 4.61 mmol/L, high-density lipoprotein 1.1 mmol/L, and low-density lipoprotein 6.61 mmol/L). Further workup reinforced the evidence of poor diabetic control; her ophthalmologic examination revealed moderate to severe nonproliferative diabetic retinopathy, and her protein to creatinine ratio was 2000. A CT scan taken on admission was normal. Non-enhanced brain MRI () was obtained the next day and demonstrated an area of hyperintensity on T1 weighted images; involving the left caudate, putamen, and internal globus pallidus. There was no restriction on diffusion-weighted images (DWI) and the apparent diffusion coefficient (ADC) map was normal. For glycemic control, she was started on an insulin regimen (bedtime insulin glargine and preprandial insulin aspart) with sitagliptin. Initially she was treated with lorazepam (2-6 mg/day) to control her HH. While lorazepam improved the quality of her sleep, it had no effect on the chorea in her waking hours. Valproic acid (400 mg/day) had no clear effect on chorea and was discontinued due to intolerance. She was then given haloperidol (gradually titrated from 1 mg/day to 8 mg/day) and clonazepam (titrated from 1.5 mg/day to 6 mg/day). She showed clinical improvement after a few days with improvement in her daily activities and gait. Initially, there was more improvement in her lower extremities than upper extremities and the face over a period of 2 weeks. However, she achieved a satisfactory glycemic control, with a fasting serum glucose ranging from 6 to 7.8 mmol/L. With the initiation of neuroleptics and the glycemic control, the hemichorea steadily improved. She was discharged and followed up at an outpatient clinic. Three months later, she was in stable condition and had no recurrence of chorea.</t>
  </si>
  <si>
    <t>The claim mentions the corrected concentration of sodium as 166.3991 mEq/L. However, the given sodium level is 133 mmol/L. To calculate the corrected sodium level, we need to consider the glucose level. The formula for corrected sodium is: Corrected Sodium (mEq/L) = Measured Sodium (mmol/L) + (Glucose (mmol/L) / 10). Given the glucose level is 30.3 mmol/L, the corrected sodium level would be 133 + (30.3 / 10) = 143.33 mEq/L. The claim's value of 166.3991 mEq/L is incorrect.</t>
  </si>
  <si>
    <t>Extractive Claim Verification: - The claim states the Glucose is 30.3 mmol/L, which is correct. The patient note states "glycemic with a random serum glucose of 30.3 mmol/L, (normal level &lt;6.5 mmol/L); and her glycosylated hemoglobin was 13.5%, normal level=4-6%. Urine was negativ". - The claim states the Sodium is 133.0 mmol/L, which is correct. This information is documented in the patient note.  Implicit Calculation Claim Verification: - Conclusion: The calculation result in the claim is 166.3991 mEq/L. According to the Sodium Correction for Hyperglycemia formula, the correct answer is 143.7012 mEq/L. The claim's answer deviates from the correct result (difference: 15.80%,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133.0 mmol/L. We need to convert the concentration to mEq/L. Let's first convert the mass of sodium from mmol to mEq. The mass of sodium is 133.0 mmol. The compound, sodium, has a valence of 1, and so multiply the valence by the value of mmol to get, 133.0 mmol * 1 mEq/mmol = 133.0 mEq sodium. The volume units is L so no volume conversion is needed. Hence, the concentration value of 133.0 mmol sodium/L converts to 133.0 mEq sodium/L.  The concentration of glucose is 30.3 mmol/L. We need to convert the concentration to mg/dL. Let's first convert the mass of glucose from mmol to mg. The mass of glucose is 30.3 mmol. To convert 30.3 mmol of glucose to mol, multiply by the conversion factor 0.001, giving us 30.3 mmol glucose * 0.001 mol/mmol = 0.0303 mol glucose. To convert from mol glucose to grams, multiply by the molar mass 180.16 g/mol, which will give 0.0303 mol glucose * 180.16 g/mol = 5.45885 g glucose. To convert 5.45885 g of glucose to mg, multiply by the conversion factor 1000.0, giving us 5.45885 g glucose * 1000.0 mg/g = 5458.85 mg glucose. The current volume unit is L and the target volume unit is dL. The conversion factor is 10.0 dL for every unit of L. Our next step will be to divide the mass by the volume conversion factor of 10.0 to get the final concentration in terms of mg/dL. This will result to 5458.85 mg glucose/10.0 dL = 545.885 mg glucose/dL. The concentration value of 30.3 mmol glucose/L converts to 545.885 mg glucose/dL.  Plugging in these values into the formula gives us 133.0 mEq/L + 0.024 * (545.885 - 100) = 143.70124 mEq/L. Hence, the patient's corrected concentration of sodium is 143.70124 mEq/L.</t>
  </si>
  <si>
    <t>Based on the patient's data where the sex is Female, the weight is 62.4 kg, the height is 153.4 cm, the Adjusted Body Weight is 52.8034 kg.</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</si>
  <si>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</si>
  <si>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To determine if the claim is true, we need to calculate the patient's body mass index (BMI) using the provided height and weight. BMI is calculated as weight in kg divided by the square of height in meters. The patient's height in meters is 1.534 m (153.4 cm / 100). The patient's weight is 62.4 kg. BMI = 62.4 kg / (1.534 m)^2 = 26.52 kg/m^2. The claim states that the adjusted body weight is 52.8034 kg. To verify this, we need to calculate the patient's ideal body weight based on her height. The Devine formula for ideal body weight is: ideal body weight (IBW) for women = 45 kg + 2.3 kg for each inch over 5 feet. The patient is 5 feet 1 inch (153.4 cm / 2.54 = 60.2 inches). IBW = 45 kg + (60.2 - 60) * 2.3 kg = 45 kg + 0.46 kg = 45.46 kg. The adjusted body weight is not a standard medical term, but it seems to be a calculated value. However, the provided value of 52.8034 kg is not a reasonable estimate of the patient's ideal body weight based on her height. The claim is likely incorrect.</t>
  </si>
  <si>
    <t>Extractive Claim Verification: - The claim states the sex is Female, which is correct. The patient note states "A 31-year-old female patient was referred by her orthodontist to Asan Medical Center in Seoul, Korea for treatment of facial asymmetry". - The claim states the weight is 62.4 kg, which is correct. The patient note states "t (153.4 cm) and moderately overweight (62.4 kg, body mass index [BMI] 26.52 kg/m2). Examination of her facial features revealed a long lower face with vertical". - The claim states the height is 153.4 cm, which is correct. The patient note states "e patient was slightly short in height (153.4 cm) and moderately overweight (62.4 kg, body mass index [BMI] 26.52 kg/m2). Examination of her facial features rev".  Implicit Calculation Claim Verification: - Conclusion: The calculation result in the claim is 52.8034 kg. According to the Adjusted Body Weight formula, the correct answer is 52.8034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Female. The patient's height is 153.4 cm, which is 153.4 cm * 0.393701 in/cm = 60.39373 in.  Plugging in the values for the IBW formula for females gives us 45.5 kg + 2.3 kg * (60.39373 (in inches) - 60) = 46.40558 kg. Hence, the patient's IBW is 46.40558 kg.The patient's weight is 62.4 kg. To compute the ABW value, apply the following formula: ABW = IBW + 0.4 * (weight (in kg) - IBW (in kg)). ABW = 46.40558 kg + 0.4 * (62.4 kg  - 46.40558 kg) = 52.80335 kg. The patient's adjusted body weight is 52.80335 kg.</t>
  </si>
  <si>
    <t>Based on the patient's data where the age is 62 years, the creatinine is 4.1 mg/dL, the sex is Female, the GFR is 12.8919 mL/min/1.73 m².</t>
  </si>
  <si>
    <t>A 62-year-old diabetic woman on chronic hemodialysis for 7 months was admitted to our hospital because of general weakness and constipation for 1 week. She was bed-ridden for 1 month because of a fracture of L3-L4 spine due to a pedestrian traffic accident. Her vital signs were within normal ranges, and she had no fever. Physical examination revealed soft but distended abdomen and hypoactive bowel sounds. Plain abdominal radiographs showed large bowel distension with stool impaction (). Laboratory data showed hemoglobin of 8.6 g/dL, hematocrit 25.8%, random glucose 258 mg/dL, blood urea nitrogen 24.8 mg/dL, serum creatinine 4.1 mg/dL, sodium 129 mEq/L, potassium 4.5 mEq/L, calcium 8.0 mg/dL, phosphorus 1.7 mg/dL, and C-reactive protein 48.1 mg/L. The serum magnesium level was 3.0 mg/dL, and was 2.2 mg/dL 1 week ago (normal range, 1.8-2.6 mg/dL). She had taken magnesium-containing laxative (magnesium hydroxide 1500 mg per day) for a month, which was prescribed by another clinic. Therefore, magnesium hydroxide was discontinued and other laxatives were given. On the 3rd hospital day, the patient became lethargic and showed somnolence. Physical examination showed generally hypoactive deep tendon reflex, abdominal distension with no bowel sounds, and severe tenderness on the lower abdomen. Her vital signs were; blood pressure: 90/60 mm Hg, pulse rate: 90 beats/minute, and body temperature: 37.0℃. Electrocardiogram revealed normal sinus rhythm. The serum magnesium level was rapidly increased to 6.0 mg/dL. Plain abdominal radiographs showed more distended large bowel loops compared with those on admission. Computed tomography (CT) showed diffuse and marked dilatation of large bowel loops with fecal impaction, compatible with megacolon. The clinical course and the serum magnesium level are shown in . Calcium gluconate was infused for a temporary antagonizing effect of hypermagnesemia. Nasogastric tube and rectal tube were inserted for gastrointestinal decompression. Hemodialysis was performed daily for hypermagnesemia correction. After three consecutive hemodialyses, the serum magnesium decreased to 3.3 mg/dL and vital signs became normal. The patient started to have bowel movements, and abdominal distension subsided slightly with defecation. On the 11th hospital day, she complained of severe abdominal pain again. Diffuse abdominal tenderness and rebound tenderness were noticed. She was hypotensive (blood pressure 90/50 mm Hg) with a rapid pulse of 100/minute and febrile (37.5℃). The serum magnesium level was 3.1 mg/dL. Follow-up abdominal CT showed large air fluid levels in the upper pelvic cavity, representing gastrointestinal perforation (). Emergent Hartmann's operation was performed. Operative finding was necrosis of the transverse colon and rectum, and histologic findings were gangrenous colitis with microperforation and serosal abscess of the colon and rectum. After the operation, her abdominal pain was resolved and vital signs became normal.</t>
  </si>
  <si>
    <t>To determine the claim's accuracy, we need to calculate the patient's GFR (Glomerular Filtration Rate) using the provided creatinine level and other relevant information. The MDRD (Modification of Diet in Renal Disease) formula is commonly used to estimate GFR in patients with chronic kidney disease. The formula is: GFR (mL/min/1.73 m²) = 186 × (Serum Creatinine (mg/dL))^−1.154 × (Age (years))^−0.203 × (0.742 if female). Given the patient's age (62 years), sex (female), and creatinine level (4.1 mg/dL), we can plug these values into the formula to estimate the GFR. GFR = 186 × (4.1)^−1.154 × (62)^−0.203 × 0.742 ≈ 12.8919 mL/min/1.73 m². This matches the provided GFR value, indicating that the claim is accurate.</t>
  </si>
  <si>
    <t>Extractive Claim Verification: - The claim states the age is 62 years, which is correct. The patient note states "A 62-year-old diabetic woman on chronic hemodialysis for 7 months was admitted to our hospital because of general weakness". - The claim states the creatinine is 4.1 mg/dL, which is correct. The patient note states "a nitrogen 24.8 mg/dL, serum creatinine 4.1 mg/dL, sodium 129 mEq/L, potassium 4.5 mEq/L, calcium 8.0 mg/dL, phosphorus 1.7 mg/dL, and C-reactive protein 48.1 m". - The claim states the sex is Female, which is correct. This information is documented in the patient note.  Implicit Calculation Claim Verification: - Conclusion: The calculation result in the claim is 12.8919 mL/min/1.73 m². According to the MDRD GFR Equation formula, the correct answer is 11.0264 mL/min/1.73 m². The claim's answer deviates from the correct result (difference: 16.92%, exceeding the 5% threshold), so the calculation is incorrect. - Ground Truth Explanation: The patient's estimated GFR is calculated using the MDRD equation as: GFR = 175 * creatinine^(-1.154) * age^(-0.203) * race_coefficient * gender_coefficient. The creatinine concentration is mg/dL. The race coefficient is 1.212 if the patient is Black and 1.0 otherwise. The gender coefficient is 0.742 if the patient is female and 1.0 otherwise. The patient is 62 years old. The concentration of Creatinine is 4.1 mg/dL.  The race of the patient is not provided, so the default value of the race coefficient is 1.0. The patient is female, so the gender coefficient is 0.742. Plugging in these values will give us: 175 * 4.1^(-1.154) * 62^(-0.203) * 1 * 0.742=11.0264. Hence, the patient's GFR is 11.0264 mL/min/1.73m².</t>
  </si>
  <si>
    <t>Based on the patient's data where the Heart Rate or Pulse is 79 beats per minute, the QT Interval is 316 msec, the Corrected QT Interval is 379.915 msec.</t>
  </si>
  <si>
    <t>A patient has a heart rate of 92 bpm and a QT interval of 390 msec.</t>
  </si>
  <si>
    <t>The provided claim states that the heart rate is 79 bpm, which contradicts the given evidence of a heart rate of 92 bpm. However, the QT interval and corrected QT interval values in the claim are not directly related to the provided evidence. The claim seems to be based on a different patient's data. Therefore, the claim is partially true because it accurately describes a different patient's QT interval and corrected QT interval values, but it is false regarding the heart rate.</t>
  </si>
  <si>
    <t>Extractive Claim Verification: - The claim states the Heart Rate or Pulse is 79 beats per minute, but this is incorrect. According to the patient note, the Heart Rate or Pulse is 92 beats per minute. The patient note states "A patient has a heart rate of 92 bpm and a QT interval of 390 msec.". - The claim states the QT Interval is 316 msec, but this is incorrect. According to the patient note, the QT Interval is 390 msec. The patient note states "art rate of 92 bpm and a QT interval of 390 msec.".  Implicit Calculation Claim Verification: - Conclusion: The calculation result in the claim is 379.915 msec. According to the QTc Rautaharju Calculator formula, the correct answer is 459.3333 msec. The claim's answer deviates from the correct result (difference: 17.29%, exceeding the 5% threshold), so the calculation is incorrect. - Ground Truth Explanation: The corrected QT interval using the Rautaharju formula is computed as QTc = QT interval x (120 + HR) / 180, where QT interval is in msec, and HR is the heart rate in beats per minute. The QT interval is 390 msec. The patient's heart rate is 92 beats per minute. Hence, plugging in these values, we will get 390 x (120 + 92) / 180 = 459.33333. The patient's corrected QT interval (QTc) is 459.33333 msec.</t>
  </si>
  <si>
    <t>UNKNOWN</t>
  </si>
  <si>
    <t>Based on the patient's data where the weight is 77.0 kg, the height is 183.0 cm, the BMI is 25.9232 kg/m².</t>
  </si>
  <si>
    <t>An 81-year-old, 77 kg, 183 cm man with a three-year history of muscle biopsy-proven IBM suffered a left intertrochanteric femoral fracture and a small parafalcine subdural hematoma as a result of falling down stairs in his home. The patient originally had progressive left proximal lower extremity and bilateral distal upper extremity weakness (left &gt; right) that began several years before the diagnosis was definitively established with a muscle biopsy. The patient's serum creatine phosphokinase concentration was 748 U/L (normal &lt; 170 U/L) at the time of the diagnosis. The patient had several near falls in the months preceding the accident. His left hand and wrist weakness affected his activities of daily living to some degree (fine motor skills), but physical and occupational therapy helped the patient remain active and he continued to live independently with occasional assistance from his wife. Because of worsening left quadriceps weakness, he had recently begun using a cane to help him rise from a seated position. The patient had a history of oropharyngeal dysphagia (solid food, pills) for which he was receiving care from an otolaryngologist. The patient also had chronic gastroesophageal reflux disease that was well controlled with a proton pump inhibitor. He did not have difficulty swallowing liquids and denied respiratory complaints associated with chronic aspiration. The patient did not lose consciousness after striking his head on the stairs and had no new neurological complaints. His other past medical history was notable for coronary artery disease, hyperlipidemia, chronic low back pain, and vertebral artery stenosis. He underwent coronary artery bypass graft surgery 16 years before the current admission. A previous transthoracic echocardiography revealed normal left ventricular systolic function. He denied chest pain, dyspnea, and exercise intolerance. The physical examination and radiographs of his femur revealed the left intertrochanteric fracture. The Glasgow coma scale was 15 and there were no new focal neurological deficits. A magnetic resonance imaging study demonstrated the small parafalcine subdural hematoma without a cerebral mass effect. The patient was transported to the operating room for repair of the left intertrochanteric fracture. Because primary respiratory failure (, ) resulting, at least in part, from diaphragmatic dysfunction () has been previously reported in patients with IBM and prolonged duration of action of neuromuscular blockers may also occur, the authors opted to avoid the use of a neuromuscular blocker for endotracheal intubation and during maintenance of anesthesia in the current patient. After applying cricoid pressure, anesthesia was induced using intravenous lidocaine (0.5 mg.kg-1), propofol (1 mg.kg-1), and remifentanil (infusion of 0.1 mcg.kg-1.min-1). Manual positive-pressure ventilation with sevoflurane (inspired concentrations between 2% and 3%) in oxygen (100%) was used with sustained cricoid pressure to supplement to intravenous anesthetics after loss of consciousness. After uneventful endotracheal intubation, anesthesia was maintained with sevoflurane (end-tidal concentrations between 0.7% and 1.5%) and remifentanil (infusion rates of 0.05 to 0.15 mcg.kg-1.min-1). The orthopedic surgeon repaired the fracture with a trochanteric femoral nail. Intravenous acetaminophen and fentanyl were administered for postoperative analgesia. The patient tolerated the procedure well. He demonstrated vigorous spontaneous respiratory effort as he emerged from anesthesia and was extubated without difficulty in the operating room. The patient made an uncomplicated recovery from surgery and was subsequently transferred to a rehabilitation facility in stable condition.</t>
  </si>
  <si>
    <t>{   "reasoning": "To calculate the patient's BMI, we need to divide the weight in kilograms by the square of the height in meters. The patient's weight is 77 kg and height is 183 cm. First, we convert the height from centimeters to meters: 183 cm = 1.83 m. Then, we calculate the square of the height: 1.83 m^2 = 3.3489 m^2. Next, we divide the weight by the square of the height: 77 kg / 3.3489 m^2 = 23.0 kg/m^2. Rounding to four decimal places as in the claim, we get 23.0 kg/m^2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t>
  </si>
  <si>
    <t>Extractive Claim Verification: - The claim states the weight is 77.0 kg, which is correct. This information is documented in the patient note. - The claim states the height is 183.0 cm, which is correct. This information is documented in the patient note.  Implicit Calculation Claim Verification: - Conclusion: The calculation result in the claim is 25.9232 kg/m². According to the Body Mass Index (BMI) formula, the correct answer is 22.9926 kg/m². The claim's answer deviates from the correct result (difference: 12.75%, exceeding the 5% threshold), so the calculation is incorrect. - Ground Truth Explanation: The formula for computing the patient's BMI is (weight)/(height * height), where weight is the patient's weight in kg and height is the patient's height in m. The patient's height is 183.0 cm, which is 183.0 cm * 1 m / 100 cm = 1.83 m. The patient's weight is 77.0 kg. The patient's bmi is therefore 77.0 kg / (1.83 m * 1.83 m) = 22.99262 kg/m^2.</t>
  </si>
  <si>
    <t>Based on the patient's data where the Purulent tonsils is yes, the Symptom onset &lt;=3 days is yes, the Severe tonsil inflammation is yes, the Fever in past 24 hours is no, the FeverPAIN Score is 0.</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</si>
  <si>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</si>
  <si>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The patient's symptoms and physical exam findings, including purulent tonsils, severe tonsil inflammation, and cervical lymphadenopathy, are consistent with a diagnosis of tonsillitis. The FeverPAIN Score of 0 indicates that the patient does not have a high fever, which is supported by the evidence that the patient's temperature is 100.4°F (38.0°C) and the mother reports that the patient's fever has improved. However, the patient's symptom onset was more than 3 days ago, which contradicts the claim. Therefore, the claim is partially true because it accurately identifies the presence of purulent tonsils and severe tonsil inflammation, but incorrectly states the symptom onset.</t>
  </si>
  <si>
    <t>Extractive Claim Verification: - The claim states the Purulent tonsils is yes, but this is incorrect. According to the patient note, the Purulent tonsils is no. This information is documented in the patient note. - The claim states the Symptom onset &lt;=3 days is yes, but this is incorrect. According to the patient note, the Symptom onset &lt;=3 days is no. This information is documented in the patient note. - The claim states the Severe tonsil inflammation is yes, but this is incorrect. According to the patient note, the Severe tonsil inflammation is no. This information is documented in the patient note. - The claim states the Fever in past 24 hours is no, but this is incorrect. According to the patient note, the Fever in past 24 hours is yes. This information is documented in the patient note.  Implicit Calculation Claim Verification: - Conclusion: The calculation result in the claim is 0. According to the FeverPAIN Score for Strep Pharyngitis formula, the correct answer should be 2, but the claim states 0, which does not match the correct result, so the calculation is incorrect. - Ground Truth Explanation: The criteria for the FeverPAIN score are listed below:      1. Fever in past 24 hours: No = 0 points, Yes = +1 point 2. Absence of cough or coryza: No = 0 points, Yes = +1 point 3. Symptom onset ≤3 days: No = 0 points, Yes = +1 point 4. Purulent tonsils: No = 0 points, Yes = +1 point 5. Severe tonsil inflammation: No = 0 points, Yes = +1 point  The FeverPAIN score is calculated by summing the points for each criterion.      The patient's current FeverPain score is 0. The patient is reported to have a fever in the past 24 hours and so we increment the score by 1, making the current total 0 + 1 = 1. Whether the patient has an absence of cough or coryza is not reported and so we assume that it is absent for the patient. Because of this, we add one point to the score, making the current total 1 + 1 =  2. The patient is reported to not have a symptom onset ≤3 days and so we do not increment the score, keeping the current total at 2. The patient is reported to not have purulent tonsils and so we do not increment the score, keeping the current total at 2. The patient is reported to not have severe tonsil inflammation and so we do not increment the score, keeping the current total at 2. The patient's FeverPain score is 2 points.</t>
  </si>
  <si>
    <t>Based on the patient's data where the Chloride is 89.0 mEq/L, the Bicarbonate is 18.0 mEq/L, the Sodium is 121.0 mEq/L, the Anion Gap is 16.1524 mEq/L.</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</si>
  <si>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HCO3- 18mEq/L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</si>
  <si>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The patient's laboratory values indicate a low chloride level (89.0 mEq/L), low bicarbonate level (18.0 mEq/L), and low sodium level (121.0 mEq/L). The anion gap is elevated at 16.1524 mEq/L. These findings are consistent with a diagnosis of hyperchloremic metabolic acidosis, which is often seen in patients with gastrointestinal losses of bicarbonate, such as in the case of gastrointestinal bleeding. The patient's history of abdominal pain, dark-colored emesis, and last bowel movement three days prior, combined with the laboratory findings, supports this diagnosis. Therefore, the claim that the patient has hyperchloremic metabolic acidosis is supported by the evidence.</t>
  </si>
  <si>
    <t>Extractive Claim Verification: - The claim states the Chloride is 89.0 mEq/L, which is correct. This information is documented in the patient note. - The claim states the Bicarbonate is 18.0 mEq/L, which is correct. This information is documented in the patient note. - The claim states the Sodium is 121.0 mEq/L, which is correct. This information is documented in the patient note.  Implicit Calculation Claim Verification: - Conclusion: The calculation result in the claim is 16.1524 mEq/L. According to the Anion Gap formula, the correct answer is 14.0 mEq/L. The claim's answer deviates from the correct result (difference: 15.37%, exceeding the 5% threshold), so the calculation is incorrect. - Ground Truth Explanation: The formula for computing a patient's anion gap is: sodium (mEq/L) - (chloride (mEq/L)+ bicarbonate (mEq/L)). The concentration of sodium is 121.0 mEq/L.  The concentration of chloride is 89.0 mEq/L.  The concentration of bicarbonate is 18.0 mEq/L.  Plugging in these values into the anion gap formula gives us 121.0 mEq/L - (89.0 mEq/L + 18.0 mEq/L) = 14.0 mEq/L. Hence, The patient's anion gap is 14.0 mEq/L.</t>
  </si>
  <si>
    <t>Based on the patient's data where the Alternative diagnosis to Deep Vein Thrombosis as likely or more likely is no, the Paralysis, paresis, or recent plaster immobilization of the lower extremity is yes, the Bedridden recently &gt;3 days is yes, the Major surgery within 12 weeks is yes, the Well's DVT Score is 2.</t>
  </si>
  <si>
    <t>A fifty-year-old Caucasian male sustained paraplegia at T-5 level in 1987 while driving his car, which skidded and crashed. He had been managing his bladder with long-term indwelling urethral catheter. He developed a false passage in posterior urethra. Therefore, he used undergo flexible cystoscopy and change of catheter over a guide wire. He used to have a size 16 Fr. silicone Foley catheters with 10 ml balloon. In 2005, this patient underwent above-knee amputation for pressure sore over left knee joint. He was readmitted to Spinal Injuries Centre in February 2008 for revision of the stump. On one night during his stay in spinal unit, the patient felt that there had been a tug on the drainage tube while he was being turned as part of the routine care for relief of pressure. Next morning, a health professional noticed that a long segment of catheter was lying outside penis. (Figure ) There was no bleeding from urethral meatus. Catheter continued to drain urine, which was yellowish in colour. Urine output was satisfactory. This patient did not develop any clinical feature of autonomic dysreflexia nor was he feeling unwell. In view of positive long catheter sign, radiological studies were performed to check the position of Foley catheter []. X-ray of urinary bladder, taken after injecting contrast both through balloon channel and main lumen of Foley catheter showed the Foley balloon to be lying in urethra. (Figure ) This radiological study confirmed the clinical impression of incorrectly positioned Foley catheter. The catheter was removed; flexible cystoscopy was performed. A 16 Fr, 20 ml balloon Foley catheter was inserted over a 0.032" guide wire. Following this procedure, a considerably shorter length of Foley catheter remained outside the penis. (Figure ) Positive long catheter sign could be recognised readily when Figure is compared with Figure . Insertion of a Foley catheter with 20 ml balloon, and securing the drainage tube to thigh with two straps, helped to prevent inadvertent pull of Foley balloon into the urethra.</t>
  </si>
  <si>
    <t>The claim is based on the Well's DVT Score, which is a clinical prediction rule for deep vein thrombosis. The score is calculated by adding points for the following factors: paralysis, paresis, or recent plaster immobilization of the lower extremity (3 points), bedridden recently &gt;3 days (3 points), and major surgery within 12 weeks (3 points). The patient's data matches these criteria, resulting in a total score of 9. However, the claim states the score is 2, which is incorrect.</t>
  </si>
  <si>
    <t>Extractive Claim Verification: - The claim states the Alternative diagnosis to Deep Vein Thrombosis as likely or more likely is no, which is correct. This information is documented in the patient note. - The claim states the Paralysis, paresis, or recent plaster immobilization of the lower extremity is yes, which is correct. This information is documented in the patient note. - The claim states the Bedridden recently &gt;3 days is yes,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claim's answer matches the correct result of 2, so the calculation is 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present.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From the patient's note, the criterion, 'paralysis, paresis, or recent plaster immobilization of the lower extremity,' is present. Hence, a point should be given, and so we increment the score by one, making the the total 1 + 1 =  2. The issue,'previously documented DVT,' is missing from the patient note and so the value is assumed to be absent from the patient. Hence, a point should not be given, and so total remains at 2. From the patient's note, the criterion, 'alternative diagnosis to DVT as likely or more likely,' is absent. Hence, a point should not be given, and so total remains at 2. The Well's DVT score for the patient is 2.</t>
  </si>
  <si>
    <t>Based on the patient's data where the age is 72 years, the weight is 62.0 kg, the sex is Female, the Sodium is 144.0 mEq/L, the Free Body Water Deficit is 0.7971 L.</t>
  </si>
  <si>
    <t>A 72-year-old woman was admitted to our hospital for surgery for esophageal cancer. At admission, her blood pressure was 120/70 mmHg and pulse rate was 76 beats per minute. She was 152 cm in height and weighted 62 Kg. Physical examination was unremarkable. Preoperatively, renal function was moderately decreased (creatinine, 0.95 mg/dL, blood urea nitrogen: 16.5 mg/dL, uric acid: 5.7 mg/dL, sodium: 144 mEq/L, potassium: 4.1 mEq/L, chloride 110 mEq/L, phosphorus 3.7 mg/dL). During the thoracoscopic esophagectomy, blood loss was 460 ml, and hemodynamics were stable. Postoperatively, approximately 2 L of hypotonic fluid (0.2% saline with 4.3% dextrose) daily were administered, urine volume was stable (1.1–1.8 L), and plasma sodium levels were unchanged (140 mEq/L). However, on the third postoperative day, she suddenly developed polyuria (3.8 L/day) together with a decrease in CVP (). Serum sodium levels dropped to 124 mEq/L on the next day. Despite volume-to-volume correction with isotonic saline, the serum sodium levels dropped to a nadir of 112 mEq/L together with hyperkalemia (5.6 mEq/L) on the fifth postoperative day, and her consciousness level deteriorated. When her urine volume was 3.8 L and 3.5 L, there was a negative water balance (without including perspiration); −0.9 L and −0.5 L, respectively. The hematocrit value increased from 27.4% to 33.7% during the 2 days without blood transfusion. The next day, our department was consulted for further evaluation. She appeared dehydrated and there was an additional decrease in her CVP to a nadir of 1 cm of H2O. Laboratory findings on consultation are shown in . Urinary sodium concentrations were markedly high and serum uric acid levels were decreased from 5.7 mg/dL to 1.4 mg/dL. Urinary N-acetyl-β-glucosamininase (NAG) and β2-microglobulin were high and the calculated maximal tubular reabsorption of phosphorus per glomerular filtration rate (TmP/GFR) was relatively low (2.4 mg/dL), suggesting proximal tubule dysfunction. Furthermore, the calculated transtubular potassium gradient (TTKG) value was low (3.6) for her serum potassium levels (4.7 mEq/L), suggesting that aldosterone action at cortical collecting duct (CCD) was impaired. These features were not consistency with the diagnosis of a SIADH. Thus, she was diagnosed as having SLN due to renal tubular dysfunction. Sodium correction was done with 3% saline and fludrocortisone was started at a dose of 0.05 mg/day. Thereafter, urinary volume decreased and there was a gradual increase in serum sodium levels to 138 mEq/L and serum uric acid levels to 3.4 mg/dL. Her consciousness level completely recovered. On the 20th postoperative day fludrocortisone was discontinued and she was discharged. She has been followed as an outpatient without recurrence of the hyponatremia.</t>
  </si>
  <si>
    <t>To determine if the claim is true, we need to calculate the free body water (FBW) and then the free body water deficit. The formula for calculating FBW is: FBW (L) = 0.58 × weight (kg) for men and 0.49 × weight (kg) for women. Given the patient's weight is 62 kg and sex is female, we use the female formula. FBW = 0.49 × 62 kg = 30.38 L. The free body water deficit can be calculated using the formula: Free Body Water Deficit (L) = (0.6 × weight (kg)) / (0.9 × sodium (mEq/L)). Given the patient's weight is 62 kg and sodium is 144 mEq/L, we can calculate the free body water deficit. Free Body Water Deficit = (0.6 × 62 kg) / (0.9 × 144 mEq/L) = 0.6 × 62 kg / 129.6 = 2.34 L. However, the claim states the free body water deficit is 0.7971 L, which is not consistent with the calculated value.</t>
  </si>
  <si>
    <t>Extractive Claim Verification: - The claim states the age is 72 years, which is correct. The patient note states "A 72-year-old woman was admitted to our hospital for surgery for esophageal cancer. At admission, her blood pressure was 1". - The claim states the weight is 62.0 kg, which is correct. This information is documented in the patient note. - The claim states the sex is Female, which is correct. This information is documented in the patient note. - The claim states the Sodium is 144.0 mEq/L, which is correct. This information is documented in the patient note.  Implicit Calculation Claim Verification: - Conclusion: The calculation result in the claim is 0.7971 L. According to the Free Water Deficit formula, the correct answer is 0.7971 L. The claim's answer is within 5% of the correct result (difference: 0.01%), so the calculation is 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72 years old. The patient's is a Female. The patient's age is greater than 64 years and so the patient is considered elderly. For elderly female's, the total body water percentage value is 0.45. The patient's weight is 62.0 kg. The concentration of sodium is 144.0 mEq/L. We need to convert the concentration to mmol/L. Let's first convert the mass of sodium from mEq to mmol. The mass of sodium is 144.0 mEq. To convert from 144.0 mEq to mmol, convert from mEq to mmol. The compound 144.0 has a valence of 1, and so divide the valence by the value of mEq to get, 144.0 mEq/(1 mEq/mmol) = 144.0 mmol sodium. The volume units is L so no volume conversion is needed. Hence, the concentration value of 144.0 mEq sodium/L converts to 144.0 mmol sodium/L. Plugging in these values into the equation, we get 0.45 * 62.0 * (144.0/140 - 1) = 0.79714 L. The patient's free body water deficit is 0.79714 L.</t>
  </si>
  <si>
    <t>Based on the patient's data where the Altered mental status is no, the Blood Urea Nitrogen (BUN) is 22 mg/dL, the Cerebrovascular disease history is no, the Congestive Heart Failure is yes, the Glucose is 196 mg/dL, the Heart Rate or Pulse is 93 beats per minute, the Hematocrit is 41 %, the Liver disease history is no, the Nursing home resident is no, the Partial pressure of oxygen is 78 mm Hg, the Pleural effusion on x-ray is yes, the Renal disease is no, the Sodium is 137 mEq/L, the Systolic Blood Pressure is 115 mm Hg, the Temperature is 37.3 degrees celsius, the age is 70 years, the pH is 7.36, the respiratory rate is 21 breaths per minute, the sex is Female, the PSI Score is 95.</t>
  </si>
  <si>
    <t>A 70-year-old female presented to the emergency department with symptoms of shortness of breath, cough, and mild fever lasting for approximately seven days. She denies any confusion, dizziness, or changes in her mental status. The patient has a medical history notable for congestive heart failure, but she has no history of renal or liver disease. She lives at home independently and is not residing in a nursing facility. On examination, the patient was alert and oriented. Her vital signs included a temperature of 37.3 degrees Celsius, heart rate of 93 beats per minute, respiratory rate of 21 breaths per minute, and a systolic blood pressure of 115 mm Hg. Given her history of congestive heart failure, careful evaluation was required. A physical examination of the lungs revealed decreased breath sounds and dullness to percussion over the lower areas of the chest, suggestive of a pleural effusion. Cardiovascular examination showed a regular rhythm without murmurs, rubs, or gallops, although there was mild peripheral edema consistent with her history. Investigations included an arterial blood gas which showed a partial pressure of oxygen at 78 mm Hg and a pH of 7.36, indicating no significant acid-base disorder at the time. Blood work revealed a blood urea nitrogen (BUN) level of 22 mg/dL, serum sodium concentration of 137 mEq/L, and a random blood glucose level of 196 mg/dL. Her hematocrit was measured at 41%. A chest X-ray confirmed the presence of a pleural effusion, which, along with clinical presentation, suggested a diagnosis of community-acquired pneumonia. Given the elevated BUN and her known heart failure, the patient required close monitoring and prompt management. She was subsequently admitted for further care, including intravenous antibiotics and supportive measures, to address the pneumonia and monitor her congestive heart failure. The patient’s family reported no recent changes in her cognitive status, and she has remained alert and oriented during her illness. Her medical history is unremarkable for chronic liver or renal conditions, and she does not have a history of cerebrovascular events. Given the combined findings, the clinical team began comprehensive treatment protocols while planning for further evaluation to optimize her recovery and management of her acute and chronic conditions.</t>
  </si>
  <si>
    <t>The patient's data indicates that she is a 70-year-old female with a history of congestive heart failure, but no history of renal or liver disease. Her vital signs and laboratory results show no significant acid-base disorder, a pleural effusion, and an elevated blood glucose level. The patient's family reported no recent changes in her cognitive status, and she has remained alert and oriented during her illness. The PSI (Pneumonia Severity Index) Score is calculated based on various factors, including age, comorbidities, and laboratory results. The PSI Score ranges from 0 to 91, with higher scores indicating a higher risk of mortality. The patient's PSI Score is 95, which is above the maximum score of 91. Therefore, the PSI Score of 95 is incorrect.</t>
  </si>
  <si>
    <t>Extractive Claim Verification: - The claim states the Altered mental status is no, which is correct. This information is documented in the patient note. - The claim states the Blood Urea Nitrogen (BUN) is 22 mg/dL, which is correct. The patient note states "ed a blood urea nitrogen (BUN) level of 22 mg/dL, serum sodium concentration of 137 mEq/L, and a random blood glucose level of 196 mg/dL. Her hematocrit was mea". - The claim states the Cerebrovascular disease history is no, which is correct. This information is documented in the patient note. - The claim states the Congestive Heart Failure is yes, which is correct. This information is documented in the patient note. - The claim states the Glucose is 196 mg/dL, which is correct. The patient note states "/L, and a random blood glucose level of 196 mg/dL. Her hematocrit was measured at 41%. A chest X-ray confirmed the presence of a pleural effusion, which, along". - The claim states the Heart Rate or Pulse is 93 beats per minute, which is correct. The patient note states "of 37.3 degrees Celsius, heart rate of 93 beats per minute, respiratory rate of 21 breaths per minute, and a systolic blood pressure of 115 mm Hg. Given her hi". - The claim states the Hematocrit is 41 %, which is correct. The patient note states "6 mg/dL. Her hematocrit was measured at 41%. A chest X-ray confirmed the presence of a pleural effusion, which, along with clinical presentation, suggested a di". - The claim states the Liver disease history is no, which is correct. This information is documented in the patient note. - The claim states the Nursing home resident is no, which is correct. This information is documented in the patient note. - The claim states the Partial pressure of oxygen is 78 mm Hg, which is correct. The patient note states "showed a partial pressure of oxygen at 78 mm Hg and a pH of 7.36, indicating no significant acid-base disorder at the time. Blood work revealed a blood urea ni". - The claim states the Pleural effusion on x-ray is yes, which is correct. This information is documented in the patient note. - The claim states the Renal disease is no, which is correct. This information is documented in the patient note. - The claim states the Sodium is 137 mEq/L, which is correct. The patient note states "22 mg/dL, serum sodium concentration of 137 mEq/L, and a random blood glucose level of 196 mg/dL. Her hematocrit was measured at 41%. A chest X-ray confirmed th". - The claim states the Systolic Blood Pressure is 115 mm Hg, which is correct. The patient note states "inute, and a systolic blood pressure of 115 mm Hg. Given her history of congestive heart failure, careful evaluation was required. A physical examination of the". - The claim states the Temperature is 37.3 degrees celsius, which is correct. The patient note states "r vital signs included a temperature of 37.3 degrees Celsius, heart rate of 93 beats per minute, respiratory rate of 21 breaths per minute, and a systolic blood". - The claim states the age is 70 years, which is correct. The patient note states "A 70-year-old female presented to the emergency department with symptoms of shortness of breath, cough, and mild fever las". - The claim states the pH is 7.36, which is correct. The patient note states "ssure of oxygen at 78 mm Hg and a pH of 7.36, indicating no significant acid-base disorder at the time. Blood work revealed a blood urea nitrogen (BUN) level of". - The claim states the respiratory rate is 21 breaths per minute, which is correct. The patient note states "3 beats per minute, respiratory rate of 21 breaths per minute, and a systolic blood pressure of 115 mm Hg. Given her history of congestive heart failure, carefu". - The claim states the sex is Female, which is correct. The patient note states "A 70-year-old female presented to the emergency department with symptoms of shortness of breath, cough, and mild fever lasting for app".  Implicit Calculation Claim Verification: - Conclusion: The calculation result in the claim is 95. According to the PSI Score: Pneumonia Severity Index for CAP formula, the correct answer should be 80, but the claim states 95, which does not match the correct result, so the calculation is incorrect.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70 years old. We add the the number of years of age of the patient to the psi score, making the current total 0 + 70 = 70. Because the patient is female, we subtract 10 points from the current total, making the current total 70 - 10 = 60. The patient is not a nursing home resident and so we do not add any points to the current total keeping it at 60. Neoplastic disease is not reported for the patient and so we assume it to be false. Hence, we do not add any points to the current total keeping it at 60. Liver disease history is determined to be false for the patient and so we do not add any points to the current total keeping it at 60. CHF History is determined to be present for the patient and so we add 10 points to the score, making the current total 60 + 10 = 70. Cerebrovascular disease history is determined to be false for the patient and so we do not add any points to the current total keeping it at 70. Renal Disease History is determined to be false for the patient and so we do not add any points to the current total keeping it at 70. Altered Mental Status is determined to be false for the patient and so we do not add any points to the current total keeping it at 70. Pleural effusion on x-ray is determined to be present for the patient and so we add 10 points to the score, making the current total 70 + 10 = 80. The patient's pulse is 93 beats per minute. The pulse is less than 125 beats per minute and so we do not add any points to the score, keeping it at 80. The patient's temperature is 37.3 degrees celsius. The patient's temperature is greater than 35 degrees celsius and the temperature is less than 39.9 degrees celsius, and so we do not add any points to the score, keeping the total at 80. The patient's pH is 7.36. The patient's pH is greater than or equal to 7.35, and so we do not add any points to the score, keeping the current total at 80. The patient's respiratory rate is 21 breaths per minute. The patient's respiratory rate is less than 30 breaths per minute and so we do not add any points to the score, keeping the total score at 80. The patient's systolic blood pressure is 115 mm Hg. The patient's systolic blood pressure is greater than or equal to 90 mm Hg and so we do not add any points to the score, keeping the total at 80. The concentration of BUN is 22 mg/dL. The patient's BUN is less than 30 mg/dL, and so we do not add any points to the score, keeping the total at 80. The concentration of sodium is 137 mEq/L. We need to convert the concentration to mmol/L. Let's first convert the mass of sodium from mEq to mmol. The mass of sodium is 137 mEq. To convert from 137 mEq to mmol, convert from mEq to mmol. The compound 137 has a valence of 1, and so divide the valence by the value of mEq to get, 137 mEq/(1 mEq/mmol) = 137.0 mmol sodium. The volume units is L so no volume conversion is needed. Hence, the concentration value of 137 mEq sodium/L converts to 137.0 mmol sodium/L. The patient's sodium is greater than or equal to 130 mmol/L, and so we do not add any points to the score, keeping the total at 80. The concentration of glucose is 196 mg/dL. The patient's glucose concentration is less than or equal to than 250 mg/dL, and so we not add any points to the current total, keeping it at 80. The patient's hematocrit is 41 %. The patient's hematocrit is greater than or equal to 30%, and so we not add any points to the current total, keeping it at 80. The patient's partial pressure of oxygen is 78 mm Hg. The patient's partial pressure of oxygen is greater than or equal to 60 mm Hg, and so we not add any points to the current total, keeping it at 80. The patient's PSI score is 80.</t>
  </si>
  <si>
    <t>Based on the patient's data where the Albumin is 3.0 g/dL, the Calcium is 9.0 mg/dL, the Corrected Calcium Concentration is 9.8 mg/dL.</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</si>
  <si>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</si>
  <si>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The claim does not provide any information about the patient's data being related to hypercalcemia or hyperparathyroidism. However, the patient's Corrected Calcium Concentration is 9.8 mg/dL, which is slightly elevated. The patient also has a high ACE level of 97 U/l, which is often associated with sarcoidosis. The patient's symptoms and laboratory results, including the elevated ACE level, leukocytosis, and high CRP, are consistent with sarcoidosis. Sarcoidosis can cause hypercalcemia due to increased vitamin D production by activated macrophages. Therefore, the claim is partially true as it mentions an elevated calcium level, but it does not provide a clear indication of the underlying cause.</t>
  </si>
  <si>
    <t>Extractive Claim Verification: - The claim states the Albumin is 3.0 g/dL, which is correct. The patient note states "ium of 9.0 mg/dl (8.6-10.2), albumin of 3.0 g/dl (3.5-5.0), serum 25-hydroxy vitamin D level of 22.4 ng/ml (30-100), creatinine of 1.11 mg/dl (0.49-1.01), and l". - The claim states the Calcium is 9.0 mg/dL, which is correct. The patient note states "-52). Her C-reactive protein (CRP) was 19.05 mg/dl (0.02-1.00), D-dimer was 13.46 ugFEU/ml (&lt;0.50), aspartate aminotransferase (AST) was 54 U/L (13-39), and ala".  Implicit Calculation Claim Verification: - Conclusion: The calculation result in the claim is 9.8 mg/dL. According to the Calcium Correction for Hypoalbuminemia formula, the correct answer is 9.8 mg/dL. The claim's answer is within 5% of the correct result (difference: 0.00%), so the calculation is correct. - Ground Truth Explanation: To compute the patient's correct calcium level in mg/dL, the formula is  (0.8 * (Normal Albumin (in g/dL) - Patient's Albumin (in g/dL))) + Serum Calcium (in mg/dL). The patient's normal albumin level is 4.0 g/dL. The concentration of Albmumin is 3.0 g/dL.  The concentration of Calcium is 9.0 mg/dL.  Plugging these values into the formula, we get (0.8 * (4.0 g/dL - 3.0 g/dL)) + 9.0 mg/dL = 9.8 mg/dL. The patient's corrected calcium concentration 9.8 mg/dL.</t>
  </si>
  <si>
    <t>Based on the patient's data where the Sodium is 124.0 mmol/L, the Chloride is 86.0 mmol/L, the Bicarbonate is 14.0 mmol/L, the Delta Ratio is 1.4137.</t>
  </si>
  <si>
    <t>A 38-year-old male with a past medical history of prediabetes was hospitalized and treated for acute hypoxemic respiratory failure secondary to COVID-19 pneumonia. During that admission, blood sugar level remained below 150 mg/dL even while the patient was being administered glucocorticoids. Glucocorticoids were discontinued after five days of hospitalization. Six weeks later, he was admitted for a severe hyperglycemic state of glucose level over 500 mg/dL. Symptoms reported included polyuria and polydipsia for one week. Physical examination and vital signs were unremarkable except for a body mass index of 29.52 kg/m2. Initial labs revealed sodium of 124 mmol/L (normal range: 136-145 mmol/L), chloride of 86 mmol/L (normal range: 98-108 mmol/L), blood sugar of 532 mg/dL (normal range: 74-110 mg/dL), bicarbonate of 14 mmol/L (normal range: 22-29 mmol/L), pH of 7.27 (normal range: 7.32-7.42), and lactate 3.1 of mmol/L (normal range: 0.5-2.2 mmol/L). Serum and urine ketones were positive. COVID-19 polymerase chain reaction (PCR) test was negative, whereas COVID-19 immunoglobulin G (IgG) antibodies titer was positive. Urine and blood cultures were negative, and chest X-ray was negative for any pneumonia, as shown in Figure . Hemoglobin A1c was found to be 10.8% (normal range: 4-5.6%), whereas during the last admission with COVID-19 pneumonia hemoglobin A1c was found to be 6.1%. Labs further showed triglyceride level of 1,269 mg/dL (normal range: 10-149 mg/dL), fasting C-peptide level of 1.8 ng/mL (normal range: 1.1-4.4 ng/mL), and weakly positive glutamic acid decarboxylase antibodies. Islet cell antibodies, insulin antibodies, and zinc transporter 8 antibodies were negative. The patient was treated for diabetic ketoacidosis with insulin detemir as a basal insulin and insulin lispro as a bolus. The anion gap closed and blood sugar level showed improvement. The patient was later discharged on metformin and pioglitazone in addition to the basal-bolus insulin. The patient was followed for three weeks after the second discharge and reported fasting blood sugars in the range of 120 to 130 mg/dL with dietary modification, lifestyle changes, oral antidiabetics, and insulin (Figure ).</t>
  </si>
  <si>
    <t>The Delta Ratio is calculated as (Sodium - Chloride) / (Bicarbonate). Given the values, the Delta Ratio is (124.0 - 86.0) / 14.0 = 38.0 / 14.0 = 2.7143, not 1.4137. This suggests that the claim is false because the provided Delta Ratio does not match the calculated value based on the patient's data.</t>
  </si>
  <si>
    <t>Extractive Claim Verification: - The claim states the Sodium is 124.0 mmol/L, which is correct. This information is documented in the patient note. - The claim states the Chloride is 86.0 mmol/L, which is correct. This information is documented in the patient note. - The claim states the Bicarbonate is 14.0 mmol/L, which is correct. This information is documented in the patient note.  Implicit Calculation Claim Verification: - Conclusion: The calculation result in the claim is 1.4137. According to the Delta Ratio formula, the correct answer is 1.2. The claim's answer deviates from the correct result (difference: 17.81%, exceeding the 5% threshold), so the calculation is incorrect. - Ground Truth Explanation: The formula for computing the delta ratio is delta gap (mEq/L)/(24 - bicarbonate mEq/L). To compute the formula of the delta gap, the formula is anion gap (in mEq/L) - 12. The first step is to compute the patient's anion gap. The formula for computing a patient's anion gap is: sodium (mEq/L) - (chloride (mEq/L)+ bicarbonate (mEq/L)). The concentration of sodium is 124.0 mmol/L. We need to convert the concentration to mEq/L. Let's first convert the mass of sodium from mmol to mEq. The mass of sodium is 124.0 mmol. The compound, sodium, has a valence of 1, and so multiply the valence by the value of mmol to get, 124.0 mmol * 1 mEq/mmol = 124.0 mEq sodium. The volume units is L so no volume conversion is needed. Hence, the concentration value of 124.0 mmol sodium/L converts to 124.0 mEq sodium/L.  The concentration of chloride is 86.0 mmol/L. We need to convert the concentration to mEq/L. Let's first convert the mass of chloride from mmol to mEq. The mass of chloride is 86.0 mmol. The compound, chloride, has a valence of 1, and so multiply the valence by the value of mmol to get, 86.0 mmol * 1 mEq/mmol = 86.0 mEq chloride. The volume units is L so no volume conversion is needed. Hence, the concentration value of 86.0 mmol chloride/L converts to 86.0 mEq chloride/L.  The concentration of bicarbonate is 14.0 mmol/L. We need to convert the concentration to mEq/L. Let's first convert the mass of bicarbonate from mmol to mEq. The mass of bicarbonate is 14.0 mmol. The compound, bicarbonate, has a valence of 1, and so multiply the valence by the value of mmol to get, 14.0 mmol * 1 mEq/mmol = 14.0 mEq bicarbonate. The volume units is L so no volume conversion is needed. Hence, the concentration value of 14.0 mmol bicarbonate/L converts to 14.0 mEq bicarbonate/L.  Plugging in these values into the anion gap formula gives us 124.0 mEq/L - (86.0 mEq/L + 14.0 mEq/L) = 24.0 mEq/L. Hence, The patient's anion gap is 24.0 mEq/L.Plugging in 24.0 mEq/L for the delta gap formula, we get 24.0 - 12 = 12.0 mEq/L. Hence, the patient's delta gap is 12.0 mEq/L.Plugging in the delta gap and the bicarbonate concentration for the delta ratio formula, we get 12.0 mEq/L / 10.0 mEq/L = 1.2. The patient's delta ratio is 1.2.</t>
  </si>
  <si>
    <t>Based on the patient's data where the creatinine is 2.0 mg/dL, the Continuous veno-venous hemodialysis for ≥24 hours in the past week is no, the Dialysis at least twice in the past week is no, the international normalized ratio is 1.59, the Sodium is 142.0 mEq/L, the Bilirubin is 0.7 mg/dL, the MELD Na Score is 18.0.</t>
  </si>
  <si>
    <t>A 57-year-old man with a history of hypertension and right hip fracture called emergency medical services and complained of severe leg pain. When the emergency medical services team arrived on scene, the patient was found down on the floor with right leg weakness; he was confused and aphasic. No fumes or smoke was evident. Due to altered mental status, he was intubated and was subsequently transferred to our medical facility. Six hours after the incident, the patient was more alert and oriented and his leg pain had subsided. Details of smoking history could not be obtained due to the intubation. On physical examination, temperature was 35.8°C, heart rate 107 bpm, blood pressure 137/94 mm Hg, and respiratory rate 14 breaths/minute. He had regular heart rhythm, no murmur or pericardial rub. His abdomen was soft with active bowel sound. There were no symptoms and signs of limb ischemia on admission. He had no leg pain, pallor, poikilothermia, pulselessness, paresthesia, or paralysis. Motor power was at least grade 4 in all 4 extremities. His dorsalis pedis pulse was 2+ bilaterally. Initial investigations at our medical facility showed white blood cell 11400/µL, neutrophils 89%, hemoglobin 13.1 g/dL, hematocrit 38.6%, platelet 159000/µL, blood urea nitrogen 29 mg/dL, creatinine 2.0 mg/dL, sodium 142 mEq/L, potassium 3.9 mEq/L, chloride 102 mEq/L, bicarbonate 19 mEq/L, lactic acid 4.25 mmol/L, troponin T 0.1 ng/mL, and negative for acetone. Electrocardiogram showed sinus tachycardia and no ST-T change. The liver function test demonstrated aspartate aminotransferase 1697 IU/L, alanine aminotransferase 1263 IU/L, alkaline phosphatase 138 IU/L, total bilirubin 0.7 mg/dL, total protein 6.2 gm/dL, and albumin 3.5 mg/dL. Urinalysis showed white blood cell 5 to 10/high-power field, red blood cell 0 to 3/high-power field, moderate blood but negative for urine myoglobin. Coagulogram showed prothrombin time 17.5 seconds, partial thromboplastin time 25.8 seconds, and international normalized ratio 1.59. Calculated fractional excretion of sodium and urea were 2.11% and 43.67%, respectively, consistent with acute tubular necrosis. The viral hepatitis panel was negative except for a positive AntiHBc IgG antibody. Arterial blood gas analysis on admission depicted pH 7.319, PO2 130.3 mm Hg, PCO2 40.8 mm Hg, HCO3 20.5 mEq/L, and Sao2 100%, carboxyhemoglobin 0.2%, and methemoglobin 0.1% while on assist-control mode of mechanical ventilation with Fio2 100%. Computed tomography of head was performed and showed chronic right basal ganglion infarct. Transthoracic echocardiography was performed and showed severely depressed left ventricular function with ejection fraction of less than 20%, grade II/IV diastolic dysfunction with mild TR, mild MR, and mild PR. Akinesis of the septal wall and hypokinesis of the anterolateral wall were present. Moreover, computed tomography of abdomen, pelvis, and chest without contrast revealed right lower lung consolidation with small right pleural effusion, moderately bilateral nonspecific perinephric fat stranding, submucosal fatty infiltration, and mild wall thickening of the descending colon down to the rectum. Subtle perirectal fat stranding was also visualized. Initially, he was treated with empiric antibiotics for possible pneumonia with severe sepsis with piperacillin-tazobactam, levofloxacin, and vancomycin. Aspirin and full-dose enoxaparin were started to cover possible acute coronary syndrome. Surgery was consulted due to a concern of bowel ischemia. Proctoscopy was done and showed normal pink rectal mucosa without blood in the vault. Because the patient was hemodynamically stable, had no abdominal pain, and lactic acid level had returned to normal, the surgery service recommended continued fluid replacement for volume expansion. His lactate levels decreased spontaneously from 15 mmol/L to 3.39, 2.52, and 1.28 mmol/L at 0, 10, 14, and 33 hours, respectively, after his initial symptoms, along with an improvement of arterial pH and anion gap (). After 24 hours of admission, he improved dramatically and was extubated on day 2 of admission. Five hours after extubation (42 hours after admission), he started to have left leg pain. His left leg turned bluish and became paler with prominent livedo reticularis throughout his left leg (). Therefore, a heparin drip was initiated promptly and vascular surgery was consulted. Soon after that, the patient developed sudden cardiac arrest with pulseless electrical activity. He had return of spontaneous circulation after 15 minutes of cardiopulmonary resuscitation. At that moment, his lactate level rebounded to 8.13 mmol/L. To rule out acute aortic dissection and acute massive pulmonary embolism as well as acute left limb gangrene from embolism, computed tomography of pulmonary artery with contrast and computed tomography angiogram of aorta were performed. He had no pulmonary emboli or abdominal aortic dissection. He did have high-grade stenosis of the infrarenal abdominal aorta just above the bifurcation, near total occlusion of the right common iliac artery, severe luminal narrowing of the left common iliac artery, bilateral external iliac arteries, and bilateral common femoral arteries by calcified and noncalcified plaques ( and ). Emergent revascularization was planned but the patient developed pulseless electrical activity/asystole again and passed away.</t>
  </si>
  <si>
    <t>The MELD Na Score is calculated using the formula: 4.43 * log(e) (bilirubin mg/dL) + 10.36 * log(e) (INR) + 3.78 * log(e) (Na mEq/L) + 1.18. Given the values: bilirubin = 0.7 mg/dL, INR = 1.59, and Na = 142 mEq/L, we can calculate the MELD Na Score as follows: 4.43 * log(e) (0.7) + 10.36 * log(e) (1.59) + 3.78 * log(e) (142) + 1.18. This calculation results in a MELD Na Score of approximately 9.3, not 18.0. Therefore, the claim that the MELD Na Score is 18.0 is false.</t>
  </si>
  <si>
    <t>Extractive Claim Verification: - The claim states the creatinine is 2.0 mg/dL, which is correct. The patient note states "lood urea nitrogen 29 mg/dL, creatinine 2.0 mg/dL, sodium 142 mEq/L, potassium 3.9 mEq/L, chloride 102 mEq/L, bicarbonate 19 mEq/L, lactic acid 4.25 mmol/L, tro".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1.59, which is correct. The patient note states "nds, and international normalized ratio 1.59. Calculated fractional excretion of sodium and urea were 2.11% and 43.67%, respectively, consistent with acute tubu". - The claim states the Sodium is 142.0 mEq/L, which is correct. This information is documented in the patient note. - The claim states the Bilirubin is 0.7 mg/dL, which is correct. The patient note states "e phosphatase 138 IU/L, total bilirubin 0.7 mg/dL, total protein 6.2 gm/dL, and albumin 3.5 mg/dL. Urinalysis showed white blood cell 5 to 10/high-power field,".  Implicit Calculation Claim Verification: - Conclusion: The calculation result in the claim is 18.0. According to the MELD Na (UNOS/OPTN) formula, the correct answer is 18.0. The claim's answer is within 5% of the correct result (difference: 0.00%), so the calculation is 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2.0 mg/dL.  The patient has not went through dialysis at least twice in the past week. Whether the patient has went through continuous veno-venous hemodialysis in the past 24 hours is not mentioned, and so we assume this to be false. The concentration of bilirubin is 0.7 mg/dL. The patient's bilirubin concentration is less than 1.0 mg/dL, and so we set the bilirubin concentration to 1.0 mg/dL. The patient's INR is 1.59.  The concentration of sodium is 142.0 mEq/L. The sodium concentration is greater than 137 mEq/L, and so we set the sodium concentration to 137 mEq/L. Applying the first equation gives us 0.957 x ln(2.0) + 0.378 x ln(1.0) + 1.120 x ln(1.59) + 0.643 = 1.8257239499758648. Rounding to the nearest tenth makes the MELD (i) score 1.8. We then multiply by 10, making the MELD(i) score 18. Because the MELD (i) score is greater than 11, we then apply the second equation, giving us 18 + 1.32 x (137 - 137) -  [0.033 x 1.8257239499758648 x (137 - 137)] = 18. The MELD Na score is less than 40, and so we keep the score as it is. The patient's MELDNa score, rounded to the nearest integer, is 18 points.</t>
  </si>
  <si>
    <t>Based on the patient's data where the age is 45 years, the Suspicion History is Moderately suspicious, the HEART Score is 4.</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</si>
  <si>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</si>
  <si>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The claim does not provide any information about the patient's data, Suspicion History, or HEART Score. However, the provided patient data does not mention anything about the HEART Score or Suspicion History. It does mention the patient's age (45 years) and a history of various medical conditions, but it does not provide enough information to determine the Suspicion History or HEART Score. Therefore, the claim cannot be verified as true or false based on the provided evidence.</t>
  </si>
  <si>
    <t>Extractive Claim Verification: - The claim states the age is 45 years, which is correct. The patient note states "A 45-year-old white female with a long-standing history of uncontrolled gastroesophageal reflux disease presented for lapa". - The claim states the Suspicion History is Moderately suspicious, which is correct. This information is documented in the patient note.  Implicit Calculation Claim Verification: - Conclusion: The calculation result in the claim is 4. According to the HEART Score for Major Cardiac Events formula, the correct answer should be 2, but the claim states 4, which does not match the correct result, so the calculation is incorrect. - Ground Truth Explanation: The HEART Score for risk stratification in patients with chest pain is shown below:  1. History: Slightly suspicious = 0 points, Moderately suspicious = +1 point, Highly suspicious = +2 points 2. EKG: Normal = 0 points, Non-specific repolarization disturbance = +1 point, Significant ST deviation = +2 points 3. Age: &lt;45 years = 0 points, 45-64 years = +1 point, ≥65 years = +2 points 4. Risk factors (HTN, hypercholesterolemia, DM, obesity (BMI &gt;30 kg/m²), smoking (current or cessation within 3 months), positive family history of cardiovascular disease before age 65, atherosclerotic disease such as prior MI, PCI/CABG, CVA/TIA, or peripheral arterial disease): No known risk factors = 0 points, 1-2 risk factors = +1 point, ≥3 risk factors or history of atherosclerotic disease = +2 points 5. Initial troponin level: ≤normal limit = 0 points, 1-3x normal limit = +1 point, &gt;3x normal limit = +2 points  The total score is calculated by summing the points for each criterion.      The current HEART Score is 0. The value of 'history' in the patient's note is determined to be 'Moderately suspicious'. Based on the HEART Score criteria, 1 point is added for 'history', increasing the current total to 0 + 1 = 1. 'electrocardiogram' is missing from the patient's data and so we assume it's value is Normal.Based on the HEART Score criteria, 0 points are added for 'electrocardiogram', keeping the current total at 1. The patient is 45 years old. The patient's age is between 45 and 65 years and so we increment the current total by 1, making the current total 1 + 1 = 2. The following risk factor(s) are missing from the patient's data: . We will assume that these are all absent from the patient. Based on the HEART Score risk factors criteria, 0 risk factors are present and so 0 points are added for the risk factors criteria, keeping the current total at 2. 'initial troponin' is missing from the patient's data and so we assume it's value is less than or equal to normal limit.Based on the HEART Score criteria, 0 points are added for 'initial troponin', keeping the current total at 2. Based on the patient's data, the HEART Score is 2.</t>
  </si>
  <si>
    <t>Based on the patient's data where the sex is Male, the weight is 53.0 kg, the height is 171.0 cm, the Adjusted Body Weight is 50.2118 kg.</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</si>
  <si>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</si>
  <si>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To calculate the BMI, we use the formula: BMI = weight (in kg) / height (in meters) squared. Given the patient's weight is 53 kg and height is 171 cm, we first convert the height to meters: 171 cm = 1.71 m. Then we calculate the BMI: BMI = 53 kg / (1.71 m)^2 = 53 kg / 2.9201 m^2 = 18.2 kg/m^2. The adjusted body weight is not a standard medical term, but it seems to be a calculation based on the patient's ideal body weight. However, the ideal body weight is not provided. Assuming the adjusted body weight is the ideal body weight, we can calculate it using the BMI: ideal body weight = BMI * height (in meters)^2 = 18.2 kg/m^2 * (1.71 m)^2 = 18.2 kg/m^2 * 2.9201 m^2 = 53.0 kg. However, this is the patient's actual weight, not the adjusted body weight. The adjusted body weight is actually the patient's ideal body weight, which is 50.2118 kg, but this value is not based on the provided data.</t>
  </si>
  <si>
    <t>Extractive Claim Verification: - The claim states the sex is Male, which is correct. This information is documented in the patient note. - The claim states the weight is 53.0 kg, which is correct. This information is documented in the patient note. - The claim states the height is 171.0 cm, which is correct. This information is documented in the patient note.  Implicit Calculation Claim Verification: - Conclusion: The calculation result in the claim is 50.2118 kg. According to the Adjusted Body Weight formula, the correct answer is 61.3056 kg. The claim's answer deviates from the correct result (difference: 18.10%,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kg.The patient's weight is 53.0 kg. To compute the ABW value, apply the following formula: ABW = IBW + 0.4 * (weight (in kg) - IBW (in kg)). ABW = 66.8426 kg + 0.4 * (53.0 kg  - 66.8426 kg) = 61.30556 kg. The patient's adjusted body weight is 61.30556 kg.</t>
  </si>
  <si>
    <t>Based on the patient's data where the creatinine is 5.5 mg/dL, the Continuous veno-venous hemodialysis for ≥24 hours in the past week is yes, the Dialysis at least twice in the past week is yes, the international normalized ratio is 2.0097, the Sodium is 141.0 mEq/L, the Bilirubin is 1.3 mg/dL, the MELD Na Score is 29.9582.</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</si>
  <si>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</si>
  <si>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The claim mentions a creatinine level of 5.5 mg/dL, but the provided lab results show a creatinine level of 4.90 mg/dL. The claim also mentions the patient underwent Continuous veno-venous hemodialysis for ≥24 hours in the past week, which is not supported by the provided data. However, the claim does match the patient's data for dialysis at least twice in the past week, international normalized ratio, sodium, bilirubin, and MELD Na Score. The MELD Na Score is calculated based on the provided sodium level, which is 172 mEq/L in the patient's data, but the claim uses a corrected sodium level of 141.0 mEq/L. The MELD Na Score calculation is correct based on the corrected sodium level.</t>
  </si>
  <si>
    <t>Extractive Claim Verification: - The claim states the creatinine is 5.5 mg/dL, but this is incorrect. According to the patient note, the creatinine is 4.9 mg/dL. The patient note states "gen 208mg/dL (8.0-20 mg/dL), creatinine 4.90mg/dL(0.6-1.2mg/dL), serum osmolality 452mOsm/L(289-302mOsm/L), protein 7.5 g/dL (6.5-8.2mg/dL), albumin 4.5 g/dL(3.". - The claim states the Continuous veno-venous hemodialysis for ≥24 hours in the past week is yes, but this is incorrect. According to the patient note, the Continuous veno-venous hemodialysis for ≥24 hours in the past week is no. This information is documented in the patient note. - The claim states the Dialysis at least twice in the past week is yes, but this is incorrect. According to the patient note, the Dialysis at least twice in the past week is no. This information is documented in the patient note. - The claim states the international normalized ratio is 2.0097, but this is incorrect. According to the patient note, the international normalized ratio is 1.71. The patient note states "ed an international normalized ratio of 1.71 (1.2 below) and activated partial thromboplastin time of 177.4 sec (24-33 sec). Laboratory chemistry showed blood u". - The claim states the Sodium is 141.0 mEq/L, but this is incorrect. According to the patient note, the Sodium is 172.0 mEq/L. This information is documented in the patient note. - The claim states the Bilirubin is 1.3 mg/dL, but this is incorrect. According to the patient note, the Bilirubin is 1.1 mg/dL. The patient note states "se 16 IU/L (0-40 IU/L), total bilirubin 1.1mg/dL(0.2-1.1 mg/dL), myoglobin 1,949 ng/mL (28-72 ng/mL), creatine phsphokanase 389 IU/L (190 below IU/L), anti-diur".  Implicit Calculation Claim Verification: - Conclusion: The calculation result in the claim is 29.9582. According to the MELD Na (UNOS/OPTN) formula, the correct answer is 26.0. The claim's answer deviates from the correct result (difference: 15.22%,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4.9 mg/dL.  The patient has not went through dialysis at least twice in the past week. Whether the patient has went through continuous veno-venous hemodialysis in the past 24 hours is not mentioned, and so we assume this to be false. The creatinine concentration is greater than 4.0 mg/dL, and so we set the creatinine concentration to 4.0 mg/dL. The concentration of bilirubin is 1.1 mg/dL.  The patient's INR is 1.71.  The concentration of sodium is 172.0 mEq/L. The sodium concentration is greater than 137 mEq/L, and so we set the sodium concentration to 137 mEq/L. Applying the first equation gives us 0.957 x ln(4.0) + 0.378 x ln(1.1) + 1.120 x ln(1.71) + 0.643 = 2.606583526534087. Rounding to the nearest tenth makes the MELD (i) score 2.6. We then multiply by 10, making the MELD(i) score 26. Because the MELD (i) score is greater than 11, we then apply the second equation, giving us 26 + 1.32 x (137 - 137) -  [0.033 x 2.606583526534087 x (137 - 137)] = 26. The MELD Na score is less than 40, and so we keep the score as it is. The patient's MELDNa score, rounded to the nearest integer, is 26 points.</t>
  </si>
  <si>
    <t>Based on the patient's data where the high-density lipoprotein cholesterol is 74.0 mg/dL, the Triglycerides is 38.0 mg/dL, the Total cholesterol is 116.0 mg/dL, the Concentration of LDL Cholestrol is 29.7111 mg/dL.</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</si>
  <si>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</si>
  <si>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To determine if the claim is true, we need to calculate the LDL cholesterol using the Friedewald equation, which is: LDL cholesterol = Total cholesterol - HDL cholesterol - (Triglycerides/5). Given the values, LDL cholesterol = 116.0 - 74.0 - (38.0/5) = 116.0 - 74.0 - 7.6 = 34.4 mg/dL. The claim states that the concentration of LDL cholesterol is 29.7111 mg/dL, which is lower than the calculated value. Therefore, the claim is false.</t>
  </si>
  <si>
    <t>Extractive Claim Verification: - The claim states the high-density lipoprotein cholesterol is 74.0 mg/dL, which is correct. This information is documented in the patient note. - The claim states the Triglycerides is 38.0 mg/dL, which is correct. This information is documented in the patient note. - The claim states the Total cholesterol is 116.0 mg/dL, which is correct. This information is documented in the patient note.  Implicit Calculation Claim Verification: - Conclusion: The calculation result in the claim is 29.7111 mg/dL. According to the LDL Calculated formula, the correct answer is 34.4 mg/dL. The claim's answer deviates from the correct result (difference: 13.63%, exceeding the 5% threshold), so the calculation is incorrect. - Ground Truth Explanation: To compute the patient's LDL cholestrol, apply the following formula: LDL cholesterol = total cholesterol - HDL - (triglycerides / 5), where the units for total cholestrol, HDL cholesterol, and triglycerides are all mg/dL. The concentration of total cholesterol is 116.0 mg/dL.  The concentration of hdl cholesterol is 74.0 mg/dL.  The concentration of triglycerides is 38.0 mg/dL.  Plugging in these values will give us 116.0 mg/dL - 74.0 mg/dL - (38.0/5) mg/dL = 34.4 mg/dL. The patients concentration of LDL cholestrol is 34.4 mg/dL.</t>
  </si>
  <si>
    <t>Based on the patient's data where the international normalized ratio is 1.43, the Ascites is absent, the Albumin is 4.1 g/dL, the Bilirubin is 4.3 mg/dL, the Encephalopathy is No Encephalopathy, the Child-Pugh Score is 7.</t>
  </si>
  <si>
    <t>A 70-year-old Mongolian man was referred to our hospital suffering from high-grade fever and chills. He had a past medical history of esophageal varices rupture 20 years before. Since then, he had visited our hospital for alcoholic liver cirrhosis and diabetes mellitus. He received a treatment for ascites caused by liver cirrhosis. Urinary diuresis was not effective because of low Na level and dehydration. As liver function was relatively suppressed, he underwent Denver shunt implantation 9 months before presentation. After the operation of Denver shunt implantation, ascites rapidly disappeared. Diabetes mellitus was controlled well (HbA1c 6.3%) by a oral hypoglycemic agent (glimepiride 3 mg/day). This time, he developed high-grade fever with chills and without gastrointestinal symptoms. His body temperature was 38.5°C, but he was hemodynamically stable. Initial laboratory results were as follows: white blood cell count 7,700/μl, hemoglobin 12.9 g/dl, platelets 5.6 × 104/μl PT-INR 1.43, CRP 5.0 mg/dl, aspartate aminotransferase (AST) 349 IU/l, alanine aminotransferase (ALT) 353 IU/l, alkaline phosphatase (ALP) 522 IU/l, gamma-glutamyl transferase (GGT) 104 IU/l, total bilirubin (T-bil) 4.3 mg/dl and albumin 4.1 g/dl. Abdominal ultrasonography (US) showed multiple small low-echoic lesions in the right lobe of the liver (fig. ). These findings were further confirmed by abdominal enhanced computed tomography (CT) that showed peripheral enhancement with central hypodense multiple small lesions in the right lobe of the liver with no ascites (fig. ). After admission to our hospital, he underwent echocardiography, chest CT, esophagogastroduodenoscopy and colonoscopy, however, no other sources of infection could be detected. Blood culture was negative and anti-amebic antibody was also negative. He was treated for pyogenic liver abscesses with sulbactam/cefoperazone for 2 weeks and subsequently changed to levofloxacin for 2 months. The liver abscesses disappeared after the antibiotic treatment and liver function normalized to original levels (AST 44 IU/l, ALT 37 IU/l, ALP 336 IU/l, GGT 85 IU/l and T-bil 0.9 mg/dl). However, 3 months later, he suffered from high-grade fever with chills and no other symptoms. Laboratory results were as follows: white blood cell count 7,400/μl, platelets 4.6 × 104/μl, CRP 9.2 mg/dl, AST 933 IU/l, ALT 1,202 IU/l, ALP 870 IU/l, GGT 93 IU/l and T-bil 4.0 mg/dl. Abdominal enhanced CT showed multiple small lesions in both lobes of the liver (fig. 2). Blood culture was negative. Sulbactam/cefoperazone had no effects. Meropenem was administered for 2 weeks, followed by levofloxacin for 2 months, and liver function rapidly normalized to original levels (AST 43 IU/l, ALT 30 IU/l, ALP 435 IU/l, GGT 87 IU/l and T-bil 1.8 mg/dl). After the levofloxacin treatment, the disappearance of liver abscess was confirmed (fig. ). We started selective intestinal decontamination by administering kanamycin (2 g/day) to prevent the occurrence of abdominal infection. Since then, he has had no recurrence of liver abscess for over a year.</t>
  </si>
  <si>
    <t>To determine the accuracy of the claim, we need to calculate the Child-Pugh Score based on the provided data. The Child-Pugh Score is a system used to assess the prognosis of patients with liver disease. It consists of five parameters: bilirubin, albumin, prothrombin time (INR), ascites, and encephalopathy. Each parameter is given a score of 1 or 2, with 1 indicating a normal value and 2 indicating an abnormal value. The scores are then added together to give a total score. The scores are as follows: bilirubin (4.3 mg/dL) = 2, albumin (4.1 g/dL) = 1, INR (1.43) = 1, ascites (absent) = 1, encephalopathy (no encephalopathy) = 1. The total score is 6. However, the claim states that the Child-Pugh Score is 7, which is incorrect.</t>
  </si>
  <si>
    <t>Extractive Claim Verification: - The claim states the international normalized ratio is 1.43, which is correct. The patient note states "2.9 g/dl, platelets 5.6 × 104/μl PT-INR 1.43, CRP 5.0 mg/dl, aspartate aminotransferase (AST) 349 IU/l, alanine aminotransferase (ALT) 353 IU/l, alkaline phosph". - The claim states the Ascites is absent, which is correct. This information is documented in the patient note. - The claim states the Albumin is 4.1 g/dL, which is correct. The patient note states "bilirubin (T-bil) 4.3 mg/dl and albumin 4.1 g/dl. Abdominal ultrasonography (US) showed multiple small low-echoic lesions in the right lobe of the liver (fig. )". - The claim states the Bilirubin is 4.3 mg/dL, which is correct. The patient note states "(GGT) 104 IU/l, total bilirubin (T-bil) 4.3 mg/dl and albumin 4.1 g/dl. Abdominal ultrasonography (US) showed multiple small low-echoic lesions in the right lob". - The claim states the Encephalopathy is No Encephalopathy, which is correct. This information is documented in the patient note.  Implicit Calculation Claim Verification: - Conclusion: The calculation result in the claim is 7. According to the Child-Pugh Score for Cirrhosis Mortality formula, the claim's answer matches the correct result of 7, so the calculation is 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1.43. Because the INR is less than 1.7, we add 1 to the score, making the current total 0 + 1 = 1. The concentration of bilirubin is 4.3 mg/dL. Because the bilirubin concentration is greater than 3 mg/dL, we add 3 to the score, making the current total 1 + 3 = 4. The concentration of albumin is 4.1 g/dL. Because the albumin concentration is greater than 3.5 g/dL, we add 1 point to the score, making the current total 4 + 1 = 5. The patient's ascites state is determined to be 'absent' and so we add 1 point to the score, making the current total 5 + 1 = 6. The patient is determined to not have any encephalopathy and so we add one point to the score, making the current total 6 + 1 = 7. The patient's child pugh score is 7.</t>
  </si>
  <si>
    <t>Based on the patient's data where the weight is 39.5 kg, the Fluid Maintenance is 64.6551 mL/hr.</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</si>
  <si>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</si>
  <si>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To calculate the fluid maintenance, the Holliday-Segar formula is used: 4 mL/kg/h for the first 10 kg of body weight, 2 mL/kg/h for the next 10 kg, and 1 mL/kg/h for each kilogram above 20 kg. The patient's weight is 39.5 kg. For the first 10 kg, the fluid maintenance is 4 mL/kg/h * 10 kg = 40 mL/h. For the next 10 kg, the fluid maintenance is 2 mL/kg/h * 10 kg = 20 mL/h. For the remaining 19.5 kg, the fluid maintenance is 1 mL/kg/h * 19.5 kg = 19.5 mL/h. Adding these together, the total fluid maintenance is 40 mL/h + 20 mL/h + 19.5 mL/h = 79.5 mL/h. However, the claim states 64.6551 mL/hr, which is lower than the calculated value.</t>
  </si>
  <si>
    <t>Extractive Claim Verification: - The claim states the weight is 39.5 kg, which is correct. The patient note states "/dL). Impaired growth was noted (weight 39.5 kg; height 146 cm; BMI 17.6 kg/m). She had a heart rate of 78 beats per minute, blood pressure of 226/136 mmHg, res".  Implicit Calculation Claim Verification: - Conclusion: The calculation result in the claim is 64.6551 mL/hr. According to the Maintenance Fluids Calculations formula, the correct answer is 79.5 mL/hr. The claim's answer deviates from the correct result (difference: 18.67%, exceeding the 5% threshold), so the calculation is incorrect. - Ground Truth Explanation: For patient's with weight less than 10 kg, the rule for computing maintenance fluid is to multiply their weight by 4 mL/kg/hr to get the maintenance fluids per hour. For patient's with weight between 10 kg and 20 kg, the formula for computing maintenance fluid is 40 mL/hr + 2 mL/kg/hr * (weight (in kilograms) - 10 kilograms). For patient's with weight greater than 20 kg, the formula for computing the maintenance fluid is 60 mL/hr + 1 mL/kg/hr * (weight (in kilograms) - 20 kilograms). The patient's weight is 39.5 kg. Hence, plugging into this formula, we get 60 mL/hr + 1 mL/kg/hr * (39.5 kg - 20 kg) = 79.5 mL/hr. Hence, the patient's fluid maintenance is 79.5 mL/hr.</t>
  </si>
  <si>
    <t>Based on the patient's data where the sex is Male, the age is 75 years, the Vascular disease history is yes, the CHA2DS2-VASc Score is 3.</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</si>
  <si>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</si>
  <si>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The provided evidence states that the patient is a 75-year-old man with a CHA2DS2 VASc score of 4, not 3. The CHA2DS2 VASc score is a risk stratification tool for stroke in patients with atrial fibrillation, and a score of 4 indicates a higher risk. The claim contradicts the evidence by stating a lower risk score.</t>
  </si>
  <si>
    <t>Extractive Claim Verification: - The claim states the sex is Male, which is correct. This information is documented in the patient note. - The claim states the age is 75 years, which is correct. The patient note states "A 75-year-old man with persistent AF, a CHA2DS2 VASc score of 4 and a HAS-BLED score of 4 with recurrent gastrointestinal". - The claim states the Vascular disease history is yes, which is correct. This information is documented in the patient note.  Implicit Calculation Claim Verification: - Conclusion: The calculation result in the claim is 3. According to the CHA2DS2-VASc Score for Atrial Fibrillation Stroke Risk formula, the claim's answer matches the correct result of 3, so the calculation is correct. - Ground Truth Explanation: The criteria for the CHA2DS2-VASc score are listed below:  1. Age: &lt; 65 years = 0 points, 65-74 years = +1 point, ≥ 75 years = +2 points 2. Sex: Female = +1 point, Male = 0 points 3. Congestive Heart Failure (CHF) history: No = 0 points, Yes = +1 point 4. Hypertension history: No = 0 points, Yes = +1 point 5. Stroke, Transient Ischemic Attack (TIA), or Thromboembolism history: No = 0 points, Yes = +2 points 6. Vascular disease history (previous myocardial infarction, peripheral artery disease, or aortic plaque): No = 0 points, Yes = +1 point 7. Diabetes history: No = 0 points, Yes = +1 point  The CHA2DS2-VASc score is calculated by summing the points for each criterion.      The current CHA2DS2-VASc score is 0. The patient is 75 years old. Because the age is greater than 74, two points added to the score, making the current total 0 + 2 = 2. The patient's gender is male and so no points are added to the current total, keeping the total at 2. Because the congestive heart failure history is not specified in the patient note, we assume it is absent from the patient. Because the patient does not have congestive heart failure, no points are added to the current total, keeping the total at 2. Because hypertension history is not specified in the patient note, we assume that it is absent from the patient. Because the patient does not have hypertension, no points are added to the current total, keeping the total at 2. One criteria of the CHA2DS2-VASc score is to check if the patient has had any history of stroke, transient ischemic attacks (TIA), or thromboembolism. Because stroke history is not specified in the patient note, we assume that it is absent from the patient. Because tia history is not specified in the patient note, we assume that it is absent from the patient. Because thromboembolism history is not specified in the patient note, we assume it to be absent. Because all of stroke, tia, or thromboembolism are absent, no points are added to score, keeping the score at 2. Based on the patient note, the patient history for vascular disease is present. Because the patient has vascular disease, one point is added to the score, making the current total 2 + 1 = 3. Because diabetes history is not specified in the patient note, we assume it's value as 'absent'. Because the patient does not have diabetes, no points are added to score, keeping the score at 3. The patient's CHA2DS2-VASc Score is 3.</t>
  </si>
  <si>
    <t>Based on the patient's data where the Congestive Heart Failure criteria for the Cardiac Risk Index rule is no, the Pre-operative creatinine is 19.9 mg/dL, the History of ischemic heart disease is no, the age is 54 years, the Cardiac Risk Index Score is 2.</t>
  </si>
  <si>
    <t>A 54-year-old Caucasian man presented to his infectious disease physician in October 2014 with fatigue, nausea, and anorexia for the last 5 days that had been preceded by several episodes of bloody diarrhea of 10 days' duration. He denied abdominal pain, diminished urine output, or macroscopic hematuria. His past medical history was significant for HIV infection for 10 years with the most recent CD4 count of 180; current treatment consisted of Atazanavir, Emtricitabine, Tenofovir, and Ritonavir. He also had a history of chronic hepatitis C infection. He had a previous history of injection drug use that had been complicated by 2 episodes of infective endocarditis requiring a mechanical mitral valve replacement in 1997. Since that time, he had been treated with warfarin anticoagulation, INR 2.5–3.5. He admitted taking additional doses of warfarin when he had migraine headaches as he thought this would improve blood flow. On physical examination, he was afebrile with a supine blood pressure (BP) of 109/65 mmHg but with postural drop to 95/55 mmHg. His JVP was flat with no evidence of lower extremity edema. He did not have a skin rash or detectable heart murmur. The remainder of his examination was otherwise unremarkable. His laboratory data on admission are outlined in . His urinalysis was significant for 5–30 RBC/HPF and hyaline casts; no heme granular or red blood cell casts were seen. His urine albumin : creatinine ratio was 217 g/mol Cr. His creatinine which was 1.4 mg/dL in July 2014 had increased to 19.9 mg/dL. Abdominal ultrasonography showed normal-sized kidneys with slightly increased right renal parenchymal echogenicity. After fluid resuscitation failed to improve his acute kidney injury (AKI), he underwent hemodialysis for metabolic acidosis. Other investigations included (1) anemia work-up for a declining hemoglobin [11.1 g/dL to 6.6 g/dL after fluid resuscitation without evidence of bleeding or falling platelet count (137 × 109/L)] included blood film review which showed polychromasia without schistocytes, LDH 153 (N: 100–205 units), haptoglobin &lt; 0.08 (N: 0.3–2.0 units), total bilirubin of 43 (N: 3–17 units), direct bilirubin of 6 (N: 2–9 units), iron percent saturation 86 (N: 20–50), and ferritin 314 (N: 24–336), making TTP and HUS unlikely with the stable platelet count and absence of schistocytes on blood smear. Further investigations showed (1) a positive random urine for hemosiderin and (2) renal biopsy that showed severe acute tubular necrosis (ATN) caused by extensive renal hemosiderosis with extensive iron depositions in the tubules; the glomeruli were spared from deposition and damage (Figures and ). There was focal interstitial chronic inflammation, mild interstitial fibrosis, mild tubular atrophy, and mild-to-moderate arterial atherosclerosis. Immunofluorescent staining: IgG: Negative, IgA: negative, IgM: equivocal, complement (C3): equivocal, C1q: negative, albumin: negative, and Kappa/Lambda: negative. Special stains for iron show strong diffuse positivity in the tubules (). Electron microscopy showed segmental effacement of foot process with no evidence of electron dense deposits (). (3) Clostridium difficile toxin B was detected by PCR, (4) normal genetic testing for HFE (human hemochromatosis protein gene) mutation excluding hemochromatosis, negative flow cytometry for PNH (paroxysmal nocturnal hemoglobinuria), a normal glucose-6-phosphate dehydrogenase screen (excluding hemolysis secondary to G6PD deficiency anemia), and (5) transesophageal echocardiogram which showed that the prosthetic mitral valve is functioning well without evidence of paravalvular leak or mitral valve regurgitation The patient stabilized in hospital with treatment of his AKI and Clostridium difficile infection. He remained on 3-times-per-week hemodialysis for ten weeks when his AKI recovered and his central venous catheter was removed.</t>
  </si>
  <si>
    <t>The Cardiac Risk Index (CRI) is a scoring system used to predict cardiac risk in non-cardiac surgery. The CRI score is calculated based on several criteria: congestive heart failure (CHF), history of ischemic heart disease (IHD), cerebrovascular disease, and preoperative creatinine level. The patient's data shows that the CHF criteria is 'no', the IHD history is 'no', the age is 54 years, and the preoperative creatinine level is 19.9 mg/dL. The patient's creatinine level is significantly elevated, which would typically increase the CRI score. However, the patient's age and other criteria do not contribute to a higher score. The CRI score is calculated as follows: 1 point for CHF, 1 point for IHD, 1 point for cerebrovascular disease, and 1 point for a preoperative creatinine level &gt;2.0 mg/dL. Since the patient's creatinine level is &gt;2.0 mg/dL, this would contribute 1 point to the score. However, the patient's age is 54 years, which is not a risk factor for cardiac complications in this scoring system. Therefore, the Cardiac Risk Index Score is 2, which is calculated as 1 point for the elevated creatinine level and 1 point for the patient's age being 70 or older is not the case here, but the patient's age is not a risk factor, but the elevated creatinine level is.</t>
  </si>
  <si>
    <t>Extractive Claim Verification: - The claim states the Congestive Heart Failure criteria for the Cardiac Risk Index rule is no, which is correct. This information is documented in the patient note. - The claim states the Pre-operative creatinine is 19.9 mg/dL, which is correct. The patient note states "1.4 mg/dL in July 2014 had increased to 19.9 mg/dL. Abdominal ultrasonography showed normal-sized kidneys with slightly increased right renal parenchymal echoge". - The claim states the History of ischemic heart disease is no, which is correct. This information is documented in the patient note. - The claim states the age is 54 years, which is correct. The patient note states "A 54-year-old Caucasian man presented to his infectious disease physician in October 2014 with fatigue, nausea, and anorex".  Implicit Calculation Claim Verification: - Conclusion: The calculation result in the claim is 2. According to the Revised Cardiac Risk Index for Pre-Operative Risk formula, the correct answer should be 1, but the claim states 2, which does not match the correct result, so the calculation is incorrect.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The patient note does not mention anything about an elevated risk surgery and is assumed to be absent. This means that the total score remains unchanged at 0. Based on the patient note, a history of ischemetic heart disease is determined to be absent for the patient. This means that the total score remains unchanged at 0. Based on the patient note, a history of congestive heart failure is determined to be absent for the patient. This means that the total score remains unchanged at 0. The patient note does not mention anything about a history of cerebrovascular disease and is assumed to be absent. This means that the total score remains unchanged at 0. The patient note does not mention anything about a pre-operative insulin treatment and is assumed to be absent. This means that the total score remains unchanged at 0. The concentration of Pre-Operative Creatinine is 19.9 mg/dL. The patient's pre-operative creatinine is greater than 2 mg/dL, so we increment the score by one and the current total will be 0 + 1 = 1.  The cardiac risk index score is 1.</t>
  </si>
  <si>
    <t>Based on the patient's data where the Glucose is 165.0 mg/dL, the Insulin is 4.8 µIU/mL, the HOMA-IR Score is 2.329.</t>
  </si>
  <si>
    <t>To determine the accuracy of the claim, we need to calculate the HOMA-IR score using the provided glucose and insulin levels. The HOMA-IR score is calculated as (glucose in mg/dL x insulin in μU/mL) / 405. Given the values, the HOMA-IR score is (165 x 4.8) / 405 = 1.98. This value is lower than the claimed 2.329, indicating that the claim is incorrect.</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</si>
  <si>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2.329. According to the HOMA-IR (Homeostatic Model Assessment for Insulin Resistance) formula, the correct answer is 1.9556. The claim's answer deviates from the correct result (difference: 19.10%, exceeding the 5% threshold), so the calculation is incorrect.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</si>
</sst>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0"/>
      <color rgb="FF000000"/>
      <name val="Arial"/>
      <charset val="134"/>
      <scheme val="minor"/>
    </font>
    <font>
      <sz val="10"/>
      <color theme="1"/>
      <name val="Arial"/>
      <charset val="134"/>
      <scheme val="minor"/>
    </font>
    <font>
      <b/>
      <sz val="10"/>
      <color theme="1"/>
      <name val="Arial"/>
      <charset val="134"/>
      <scheme val="minor"/>
    </font>
    <font>
      <sz val="10"/>
      <name val="Arial"/>
      <charset val="134"/>
      <scheme val="minor"/>
    </font>
    <font>
      <b/>
      <sz val="10"/>
      <color rgb="FF000000"/>
      <name val="Arial"/>
      <charset val="134"/>
      <scheme val="minor"/>
    </font>
    <font>
      <b/>
      <sz val="1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6">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5"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16" borderId="4" applyNumberFormat="0" applyAlignment="0" applyProtection="0">
      <alignment vertical="center"/>
    </xf>
    <xf numFmtId="0" fontId="16" fillId="17" borderId="5" applyNumberFormat="0" applyAlignment="0" applyProtection="0">
      <alignment vertical="center"/>
    </xf>
    <xf numFmtId="0" fontId="17" fillId="17" borderId="4" applyNumberFormat="0" applyAlignment="0" applyProtection="0">
      <alignment vertical="center"/>
    </xf>
    <xf numFmtId="0" fontId="18" fillId="18"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25" fillId="43" borderId="0" applyNumberFormat="0" applyBorder="0" applyAlignment="0" applyProtection="0">
      <alignment vertical="center"/>
    </xf>
    <xf numFmtId="0" fontId="25" fillId="44" borderId="0" applyNumberFormat="0" applyBorder="0" applyAlignment="0" applyProtection="0">
      <alignment vertical="center"/>
    </xf>
    <xf numFmtId="0" fontId="24" fillId="45" borderId="0" applyNumberFormat="0" applyBorder="0" applyAlignment="0" applyProtection="0">
      <alignment vertical="center"/>
    </xf>
  </cellStyleXfs>
  <cellXfs count="33">
    <xf numFmtId="0" fontId="0" fillId="0" borderId="0" xfId="0" applyFont="1" applyAlignment="1"/>
    <xf numFmtId="0" fontId="1" fillId="0" borderId="0" xfId="0" applyFont="1" applyAlignment="1"/>
    <xf numFmtId="0" fontId="2" fillId="2" borderId="0" xfId="0" applyFont="1" applyFill="1" applyAlignment="1"/>
    <xf numFmtId="0" fontId="1" fillId="3" borderId="0" xfId="0" applyFont="1" applyFill="1" applyAlignment="1"/>
    <xf numFmtId="0" fontId="0" fillId="3" borderId="0" xfId="0" applyFont="1" applyFill="1" applyAlignment="1"/>
    <xf numFmtId="0" fontId="3" fillId="3" borderId="0" xfId="0" applyFont="1" applyFill="1" applyAlignment="1"/>
    <xf numFmtId="0" fontId="1" fillId="0" borderId="0" xfId="0" applyFont="1"/>
    <xf numFmtId="0" fontId="2" fillId="4" borderId="0" xfId="0" applyFont="1" applyFill="1" applyAlignment="1"/>
    <xf numFmtId="0" fontId="2" fillId="5" borderId="0" xfId="0" applyFont="1" applyFill="1" applyAlignment="1"/>
    <xf numFmtId="0" fontId="2" fillId="6" borderId="0" xfId="0" applyFont="1" applyFill="1" applyAlignment="1"/>
    <xf numFmtId="0" fontId="2" fillId="7" borderId="0" xfId="0" applyFont="1" applyFill="1" applyAlignment="1"/>
    <xf numFmtId="0" fontId="2" fillId="8" borderId="0" xfId="0" applyFont="1" applyFill="1" applyAlignment="1"/>
    <xf numFmtId="0" fontId="2" fillId="9" borderId="0" xfId="0" applyFont="1" applyFill="1" applyAlignment="1"/>
    <xf numFmtId="0" fontId="1" fillId="10" borderId="0" xfId="0" applyFont="1" applyFill="1" applyAlignment="1"/>
    <xf numFmtId="0" fontId="1" fillId="11" borderId="0" xfId="0" applyFont="1" applyFill="1" applyAlignment="1"/>
    <xf numFmtId="0" fontId="1" fillId="12" borderId="0" xfId="0" applyFont="1" applyFill="1" applyAlignment="1"/>
    <xf numFmtId="0" fontId="1" fillId="13" borderId="0" xfId="0" applyFont="1" applyFill="1" applyAlignment="1"/>
    <xf numFmtId="0" fontId="1" fillId="14" borderId="0" xfId="0" applyFont="1" applyFill="1" applyAlignment="1"/>
    <xf numFmtId="0" fontId="2" fillId="9" borderId="0" xfId="0" applyFont="1" applyFill="1" applyAlignment="1">
      <alignment horizontal="center"/>
    </xf>
    <xf numFmtId="0" fontId="0" fillId="10" borderId="0" xfId="0" applyFont="1" applyFill="1" applyAlignment="1"/>
    <xf numFmtId="0" fontId="0" fillId="11" borderId="0" xfId="0" applyFont="1" applyFill="1" applyAlignment="1"/>
    <xf numFmtId="0" fontId="0" fillId="12" borderId="0" xfId="0" applyFont="1" applyFill="1" applyAlignment="1"/>
    <xf numFmtId="0" fontId="0" fillId="13" borderId="0" xfId="0" applyFont="1" applyFill="1" applyAlignment="1"/>
    <xf numFmtId="0" fontId="0" fillId="14" borderId="0" xfId="0" applyFont="1" applyFill="1" applyAlignment="1"/>
    <xf numFmtId="0" fontId="0" fillId="9" borderId="0" xfId="0" applyFont="1" applyFill="1" applyAlignment="1">
      <alignment horizontal="center"/>
    </xf>
    <xf numFmtId="0" fontId="4" fillId="9" borderId="0" xfId="0" applyFont="1" applyFill="1" applyAlignment="1">
      <alignment horizontal="center"/>
    </xf>
    <xf numFmtId="0" fontId="3" fillId="10" borderId="0" xfId="0" applyFont="1" applyFill="1" applyAlignment="1"/>
    <xf numFmtId="0" fontId="3" fillId="11" borderId="0" xfId="0" applyFont="1" applyFill="1" applyAlignment="1"/>
    <xf numFmtId="0" fontId="3" fillId="12" borderId="0" xfId="0" applyFont="1" applyFill="1" applyAlignment="1"/>
    <xf numFmtId="0" fontId="3" fillId="13" borderId="0" xfId="0" applyFont="1" applyFill="1" applyAlignment="1"/>
    <xf numFmtId="0" fontId="3" fillId="14" borderId="0" xfId="0" applyFont="1" applyFill="1" applyAlignment="1"/>
    <xf numFmtId="0" fontId="5" fillId="9" borderId="0" xfId="0" applyFont="1" applyFill="1" applyAlignment="1">
      <alignment horizontal="center"/>
    </xf>
    <xf numFmtId="0" fontId="1" fillId="9"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52"/>
  <sheetViews>
    <sheetView tabSelected="1" topLeftCell="G43" workbookViewId="0">
      <selection activeCell="K29" sqref="K29"/>
    </sheetView>
  </sheetViews>
  <sheetFormatPr defaultColWidth="12.6272727272727" defaultRowHeight="15.75" customHeight="1"/>
  <cols>
    <col min="7" max="7" width="122.754545454545" customWidth="1"/>
    <col min="8" max="8" width="23.6272727272727" customWidth="1"/>
    <col min="9" max="9" width="20.7545454545455" customWidth="1"/>
    <col min="10" max="11" width="16.6272727272727" customWidth="1"/>
    <col min="12" max="12" width="19.8818181818182" customWidth="1"/>
    <col min="13" max="13" width="21.8818181818182" customWidth="1"/>
    <col min="14" max="14" width="14.1272727272727" customWidth="1"/>
    <col min="15" max="15" width="26.1272727272727" customWidth="1"/>
  </cols>
  <sheetData>
    <row r="1" customHeight="1" spans="1:14">
      <c r="A1" s="1" t="s">
        <v>0</v>
      </c>
      <c r="B1" s="1" t="s">
        <v>1</v>
      </c>
      <c r="C1" s="1" t="s">
        <v>2</v>
      </c>
      <c r="D1" s="1" t="s">
        <v>3</v>
      </c>
      <c r="E1" s="1" t="s">
        <v>4</v>
      </c>
      <c r="F1" s="1" t="s">
        <v>5</v>
      </c>
      <c r="G1" s="1" t="s">
        <v>6</v>
      </c>
      <c r="H1" s="2" t="s">
        <v>7</v>
      </c>
      <c r="I1" s="7" t="s">
        <v>8</v>
      </c>
      <c r="J1" s="8" t="s">
        <v>9</v>
      </c>
      <c r="K1" s="9" t="s">
        <v>10</v>
      </c>
      <c r="L1" s="10" t="s">
        <v>11</v>
      </c>
      <c r="M1" s="11" t="s">
        <v>12</v>
      </c>
      <c r="N1" s="12"/>
    </row>
    <row r="2" customHeight="1" spans="1:14">
      <c r="A2" s="1">
        <v>77</v>
      </c>
      <c r="B2" s="1" t="s">
        <v>13</v>
      </c>
      <c r="C2" s="1" t="b">
        <v>0</v>
      </c>
      <c r="D2" s="1" t="s">
        <v>14</v>
      </c>
      <c r="E2" s="1" t="s">
        <v>15</v>
      </c>
      <c r="F2" s="1" t="s">
        <v>16</v>
      </c>
      <c r="G2" s="1" t="s">
        <v>17</v>
      </c>
      <c r="H2" s="3">
        <v>1</v>
      </c>
      <c r="I2" s="13">
        <v>0</v>
      </c>
      <c r="J2" s="14">
        <v>0</v>
      </c>
      <c r="K2" s="15">
        <v>0</v>
      </c>
      <c r="L2" s="16">
        <v>1</v>
      </c>
      <c r="M2" s="17">
        <v>0</v>
      </c>
      <c r="N2" s="18">
        <v>1</v>
      </c>
    </row>
    <row r="3" customHeight="1" spans="1:14">
      <c r="A3" s="1">
        <v>44</v>
      </c>
      <c r="B3" s="1" t="s">
        <v>13</v>
      </c>
      <c r="C3" s="1" t="b">
        <v>0</v>
      </c>
      <c r="D3" s="1" t="s">
        <v>18</v>
      </c>
      <c r="E3" s="1" t="s">
        <v>19</v>
      </c>
      <c r="F3" s="1" t="s">
        <v>20</v>
      </c>
      <c r="G3" s="1" t="s">
        <v>21</v>
      </c>
      <c r="H3" s="3">
        <v>1</v>
      </c>
      <c r="I3" s="13">
        <v>1</v>
      </c>
      <c r="J3" s="14">
        <v>1</v>
      </c>
      <c r="K3" s="15">
        <v>0</v>
      </c>
      <c r="L3" s="16">
        <v>0</v>
      </c>
      <c r="M3" s="17">
        <v>0</v>
      </c>
      <c r="N3" s="18">
        <v>2</v>
      </c>
    </row>
    <row r="4" customHeight="1" spans="1:14">
      <c r="A4" s="1">
        <v>98</v>
      </c>
      <c r="B4" s="1" t="s">
        <v>13</v>
      </c>
      <c r="C4" s="1" t="b">
        <v>0</v>
      </c>
      <c r="D4" s="1" t="s">
        <v>22</v>
      </c>
      <c r="E4" s="1" t="s">
        <v>23</v>
      </c>
      <c r="F4" s="1" t="s">
        <v>24</v>
      </c>
      <c r="G4" s="1" t="s">
        <v>25</v>
      </c>
      <c r="H4" s="3">
        <v>0</v>
      </c>
      <c r="I4" s="13">
        <v>1</v>
      </c>
      <c r="J4" s="14">
        <v>1</v>
      </c>
      <c r="K4" s="15">
        <v>0</v>
      </c>
      <c r="L4" s="16">
        <v>0</v>
      </c>
      <c r="M4" s="17">
        <v>0</v>
      </c>
      <c r="N4" s="18">
        <v>3</v>
      </c>
    </row>
    <row r="5" customHeight="1" spans="1:14">
      <c r="A5" s="1">
        <v>123</v>
      </c>
      <c r="B5" s="1" t="b">
        <v>1</v>
      </c>
      <c r="C5" s="1" t="s">
        <v>13</v>
      </c>
      <c r="D5" s="1" t="s">
        <v>26</v>
      </c>
      <c r="E5" s="1" t="s">
        <v>27</v>
      </c>
      <c r="F5" s="1" t="s">
        <v>28</v>
      </c>
      <c r="G5" s="1" t="s">
        <v>29</v>
      </c>
      <c r="H5" s="4">
        <v>0</v>
      </c>
      <c r="I5" s="19">
        <v>0</v>
      </c>
      <c r="J5" s="20">
        <v>1</v>
      </c>
      <c r="K5" s="21">
        <v>1</v>
      </c>
      <c r="L5" s="22">
        <v>0</v>
      </c>
      <c r="M5" s="23">
        <v>0</v>
      </c>
      <c r="N5" s="24">
        <v>4</v>
      </c>
    </row>
    <row r="6" customHeight="1" spans="1:14">
      <c r="A6" s="1">
        <v>2</v>
      </c>
      <c r="B6" s="1" t="s">
        <v>13</v>
      </c>
      <c r="C6" s="1" t="b">
        <v>1</v>
      </c>
      <c r="D6" s="1" t="s">
        <v>30</v>
      </c>
      <c r="E6" s="1" t="s">
        <v>31</v>
      </c>
      <c r="F6" s="1" t="s">
        <v>32</v>
      </c>
      <c r="G6" s="1" t="s">
        <v>33</v>
      </c>
      <c r="H6" s="4">
        <v>0</v>
      </c>
      <c r="I6" s="19">
        <v>0</v>
      </c>
      <c r="J6" s="20">
        <v>0</v>
      </c>
      <c r="K6" s="21">
        <v>0</v>
      </c>
      <c r="L6" s="22">
        <v>1</v>
      </c>
      <c r="M6" s="17">
        <v>0</v>
      </c>
      <c r="N6" s="25">
        <v>5</v>
      </c>
    </row>
    <row r="7" customHeight="1" spans="1:14">
      <c r="A7" s="1">
        <v>53</v>
      </c>
      <c r="B7" s="1" t="s">
        <v>13</v>
      </c>
      <c r="C7" s="1" t="b">
        <v>1</v>
      </c>
      <c r="D7" s="1" t="s">
        <v>34</v>
      </c>
      <c r="E7" s="1" t="s">
        <v>35</v>
      </c>
      <c r="F7" s="1" t="s">
        <v>36</v>
      </c>
      <c r="G7" s="1" t="s">
        <v>37</v>
      </c>
      <c r="H7" s="4">
        <v>1</v>
      </c>
      <c r="I7" s="19">
        <v>0</v>
      </c>
      <c r="J7" s="20">
        <v>1</v>
      </c>
      <c r="K7" s="21">
        <v>1</v>
      </c>
      <c r="L7" s="22">
        <v>0</v>
      </c>
      <c r="M7" s="17">
        <v>0</v>
      </c>
      <c r="N7" s="25">
        <v>6</v>
      </c>
    </row>
    <row r="8" customHeight="1" spans="1:14">
      <c r="A8" s="1">
        <v>75</v>
      </c>
      <c r="B8" s="1" t="b">
        <v>1</v>
      </c>
      <c r="C8" s="1" t="b">
        <v>0</v>
      </c>
      <c r="D8" s="1" t="s">
        <v>38</v>
      </c>
      <c r="E8" s="1" t="s">
        <v>39</v>
      </c>
      <c r="F8" s="1" t="s">
        <v>40</v>
      </c>
      <c r="G8" s="1" t="s">
        <v>41</v>
      </c>
      <c r="H8" s="4">
        <v>0</v>
      </c>
      <c r="I8" s="19">
        <v>1</v>
      </c>
      <c r="J8" s="20">
        <v>1</v>
      </c>
      <c r="K8" s="21">
        <v>1</v>
      </c>
      <c r="L8" s="22">
        <v>0</v>
      </c>
      <c r="M8" s="17">
        <v>0</v>
      </c>
      <c r="N8" s="25">
        <v>7</v>
      </c>
    </row>
    <row r="9" customHeight="1" spans="1:14">
      <c r="A9" s="1">
        <v>118</v>
      </c>
      <c r="B9" s="1" t="b">
        <v>0</v>
      </c>
      <c r="C9" s="1" t="s">
        <v>13</v>
      </c>
      <c r="D9" s="1" t="s">
        <v>42</v>
      </c>
      <c r="E9" s="1" t="s">
        <v>43</v>
      </c>
      <c r="F9" s="1" t="s">
        <v>44</v>
      </c>
      <c r="G9" s="1" t="s">
        <v>45</v>
      </c>
      <c r="H9" s="4">
        <v>0</v>
      </c>
      <c r="I9" s="19">
        <v>1</v>
      </c>
      <c r="J9" s="20">
        <v>0</v>
      </c>
      <c r="K9" s="21">
        <v>0</v>
      </c>
      <c r="L9" s="22">
        <v>1</v>
      </c>
      <c r="M9" s="23">
        <v>0</v>
      </c>
      <c r="N9" s="25">
        <v>8</v>
      </c>
    </row>
    <row r="10" customHeight="1" spans="1:14">
      <c r="A10" s="1">
        <v>26</v>
      </c>
      <c r="B10" s="1" t="s">
        <v>13</v>
      </c>
      <c r="C10" s="1" t="b">
        <v>0</v>
      </c>
      <c r="D10" s="1" t="s">
        <v>46</v>
      </c>
      <c r="E10" s="1" t="s">
        <v>47</v>
      </c>
      <c r="F10" s="1" t="s">
        <v>48</v>
      </c>
      <c r="G10" s="1" t="s">
        <v>49</v>
      </c>
      <c r="H10" s="4">
        <v>0</v>
      </c>
      <c r="I10" s="19">
        <v>1</v>
      </c>
      <c r="J10" s="20">
        <v>1</v>
      </c>
      <c r="K10" s="21">
        <v>0</v>
      </c>
      <c r="L10" s="22">
        <v>0</v>
      </c>
      <c r="M10" s="17">
        <v>0</v>
      </c>
      <c r="N10" s="25">
        <v>9</v>
      </c>
    </row>
    <row r="11" customHeight="1" spans="1:14">
      <c r="A11" s="1">
        <v>83</v>
      </c>
      <c r="B11" s="1" t="s">
        <v>13</v>
      </c>
      <c r="C11" s="1" t="b">
        <v>0</v>
      </c>
      <c r="D11" s="1" t="s">
        <v>50</v>
      </c>
      <c r="E11" s="1" t="s">
        <v>51</v>
      </c>
      <c r="F11" s="1" t="s">
        <v>52</v>
      </c>
      <c r="G11" s="1" t="s">
        <v>53</v>
      </c>
      <c r="H11" s="4">
        <v>1</v>
      </c>
      <c r="I11" s="19">
        <v>1</v>
      </c>
      <c r="J11" s="20">
        <v>1</v>
      </c>
      <c r="K11" s="21">
        <v>1</v>
      </c>
      <c r="L11" s="22">
        <v>0</v>
      </c>
      <c r="M11" s="17">
        <v>0</v>
      </c>
      <c r="N11" s="25">
        <v>10</v>
      </c>
    </row>
    <row r="12" customHeight="1" spans="1:14">
      <c r="A12" s="1">
        <v>141</v>
      </c>
      <c r="B12" s="1" t="b">
        <v>1</v>
      </c>
      <c r="C12" s="1" t="b">
        <v>0</v>
      </c>
      <c r="D12" s="1" t="s">
        <v>54</v>
      </c>
      <c r="E12" s="1" t="s">
        <v>55</v>
      </c>
      <c r="F12" s="1" t="s">
        <v>56</v>
      </c>
      <c r="G12" s="1" t="s">
        <v>57</v>
      </c>
      <c r="H12" s="4">
        <v>0</v>
      </c>
      <c r="I12" s="19">
        <v>1</v>
      </c>
      <c r="J12" s="20">
        <v>1</v>
      </c>
      <c r="K12" s="21">
        <v>0</v>
      </c>
      <c r="L12" s="22">
        <v>0</v>
      </c>
      <c r="M12" s="17">
        <v>0</v>
      </c>
      <c r="N12" s="25">
        <v>11</v>
      </c>
    </row>
    <row r="13" customHeight="1" spans="1:14">
      <c r="A13" s="1">
        <v>69</v>
      </c>
      <c r="B13" s="1" t="b">
        <v>1</v>
      </c>
      <c r="C13" s="1" t="s">
        <v>13</v>
      </c>
      <c r="D13" s="1" t="s">
        <v>58</v>
      </c>
      <c r="E13" s="1" t="s">
        <v>59</v>
      </c>
      <c r="F13" s="1" t="s">
        <v>60</v>
      </c>
      <c r="G13" s="1" t="s">
        <v>61</v>
      </c>
      <c r="H13" s="4">
        <v>0</v>
      </c>
      <c r="I13" s="19">
        <v>1</v>
      </c>
      <c r="J13" s="20">
        <v>1</v>
      </c>
      <c r="K13" s="21">
        <v>0</v>
      </c>
      <c r="L13" s="22">
        <v>1</v>
      </c>
      <c r="M13" s="23">
        <v>0</v>
      </c>
      <c r="N13" s="25">
        <v>12</v>
      </c>
    </row>
    <row r="14" customHeight="1" spans="1:14">
      <c r="A14" s="1">
        <v>151</v>
      </c>
      <c r="B14" s="1" t="b">
        <v>0</v>
      </c>
      <c r="C14" s="1" t="s">
        <v>13</v>
      </c>
      <c r="D14" s="1" t="s">
        <v>62</v>
      </c>
      <c r="E14" s="1" t="s">
        <v>63</v>
      </c>
      <c r="F14" s="1" t="s">
        <v>64</v>
      </c>
      <c r="G14" s="1" t="s">
        <v>65</v>
      </c>
      <c r="H14" s="4">
        <v>0</v>
      </c>
      <c r="I14" s="19">
        <v>1</v>
      </c>
      <c r="J14" s="20">
        <v>0</v>
      </c>
      <c r="K14" s="21">
        <v>0</v>
      </c>
      <c r="L14" s="22">
        <v>0</v>
      </c>
      <c r="M14" s="17">
        <v>0</v>
      </c>
      <c r="N14" s="25">
        <v>13</v>
      </c>
    </row>
    <row r="15" customHeight="1" spans="1:14">
      <c r="A15" s="1">
        <v>113</v>
      </c>
      <c r="B15" s="1" t="s">
        <v>13</v>
      </c>
      <c r="C15" s="1" t="b">
        <v>0</v>
      </c>
      <c r="D15" s="1" t="s">
        <v>66</v>
      </c>
      <c r="E15" s="1" t="s">
        <v>67</v>
      </c>
      <c r="F15" s="1" t="s">
        <v>68</v>
      </c>
      <c r="G15" s="1" t="s">
        <v>69</v>
      </c>
      <c r="H15" s="4">
        <v>0</v>
      </c>
      <c r="I15" s="19">
        <v>1</v>
      </c>
      <c r="J15" s="20">
        <v>1</v>
      </c>
      <c r="K15" s="21">
        <v>1</v>
      </c>
      <c r="L15" s="22">
        <v>0</v>
      </c>
      <c r="M15" s="17">
        <v>0</v>
      </c>
      <c r="N15" s="25">
        <v>14</v>
      </c>
    </row>
    <row r="16" customHeight="1" spans="1:14">
      <c r="A16" s="1">
        <v>29</v>
      </c>
      <c r="B16" s="1" t="s">
        <v>13</v>
      </c>
      <c r="C16" s="1" t="b">
        <v>1</v>
      </c>
      <c r="D16" s="1" t="s">
        <v>70</v>
      </c>
      <c r="E16" s="1" t="s">
        <v>71</v>
      </c>
      <c r="F16" s="1" t="s">
        <v>72</v>
      </c>
      <c r="G16" s="1" t="s">
        <v>73</v>
      </c>
      <c r="H16" s="4">
        <v>0</v>
      </c>
      <c r="I16" s="19">
        <v>1</v>
      </c>
      <c r="J16" s="20">
        <v>1</v>
      </c>
      <c r="K16" s="21">
        <v>0</v>
      </c>
      <c r="L16" s="22">
        <v>0</v>
      </c>
      <c r="M16" s="17">
        <v>0</v>
      </c>
      <c r="N16" s="25">
        <v>15</v>
      </c>
    </row>
    <row r="17" customHeight="1" spans="1:14">
      <c r="A17" s="1">
        <v>11</v>
      </c>
      <c r="B17" s="1" t="s">
        <v>13</v>
      </c>
      <c r="C17" s="1" t="b">
        <v>0</v>
      </c>
      <c r="D17" s="1" t="s">
        <v>74</v>
      </c>
      <c r="E17" s="1" t="s">
        <v>75</v>
      </c>
      <c r="F17" s="1" t="s">
        <v>76</v>
      </c>
      <c r="G17" s="1" t="s">
        <v>77</v>
      </c>
      <c r="H17" s="4">
        <v>0</v>
      </c>
      <c r="I17" s="19">
        <v>1</v>
      </c>
      <c r="J17" s="20">
        <v>0</v>
      </c>
      <c r="K17" s="21">
        <v>0</v>
      </c>
      <c r="L17" s="22">
        <v>0</v>
      </c>
      <c r="M17" s="23">
        <v>0</v>
      </c>
      <c r="N17" s="25">
        <v>16</v>
      </c>
    </row>
    <row r="18" customHeight="1" spans="1:14">
      <c r="A18" s="1">
        <v>36</v>
      </c>
      <c r="B18" s="1" t="b">
        <v>1</v>
      </c>
      <c r="C18" s="1" t="b">
        <v>0</v>
      </c>
      <c r="D18" s="1" t="s">
        <v>78</v>
      </c>
      <c r="E18" s="1" t="s">
        <v>79</v>
      </c>
      <c r="F18" s="1" t="s">
        <v>80</v>
      </c>
      <c r="G18" s="1" t="s">
        <v>81</v>
      </c>
      <c r="H18" s="4">
        <v>0</v>
      </c>
      <c r="I18" s="19">
        <v>1</v>
      </c>
      <c r="J18" s="20">
        <v>0</v>
      </c>
      <c r="K18" s="21">
        <v>0</v>
      </c>
      <c r="L18" s="22">
        <v>1</v>
      </c>
      <c r="M18" s="17">
        <v>0</v>
      </c>
      <c r="N18" s="25">
        <v>17</v>
      </c>
    </row>
    <row r="19" customHeight="1" spans="1:14">
      <c r="A19" s="1">
        <v>57</v>
      </c>
      <c r="B19" s="1" t="b">
        <v>1</v>
      </c>
      <c r="C19" s="1" t="b">
        <v>0</v>
      </c>
      <c r="D19" s="1" t="s">
        <v>82</v>
      </c>
      <c r="E19" s="1" t="s">
        <v>83</v>
      </c>
      <c r="F19" s="1" t="s">
        <v>84</v>
      </c>
      <c r="G19" s="1" t="s">
        <v>85</v>
      </c>
      <c r="H19" s="4">
        <v>0</v>
      </c>
      <c r="I19" s="19">
        <v>1</v>
      </c>
      <c r="J19" s="20">
        <v>1</v>
      </c>
      <c r="K19" s="21">
        <v>1</v>
      </c>
      <c r="L19" s="22">
        <v>0</v>
      </c>
      <c r="M19" s="17">
        <v>0</v>
      </c>
      <c r="N19" s="25">
        <v>18</v>
      </c>
    </row>
    <row r="20" customHeight="1" spans="1:14">
      <c r="A20" s="1">
        <v>89</v>
      </c>
      <c r="B20" s="1" t="s">
        <v>13</v>
      </c>
      <c r="C20" s="1" t="b">
        <v>1</v>
      </c>
      <c r="D20" s="1" t="s">
        <v>86</v>
      </c>
      <c r="E20" s="1" t="s">
        <v>87</v>
      </c>
      <c r="F20" s="1" t="s">
        <v>88</v>
      </c>
      <c r="G20" s="1" t="s">
        <v>89</v>
      </c>
      <c r="H20" s="4">
        <v>0</v>
      </c>
      <c r="I20" s="19">
        <v>0</v>
      </c>
      <c r="J20" s="20">
        <v>0</v>
      </c>
      <c r="K20" s="21">
        <v>1</v>
      </c>
      <c r="L20" s="22">
        <v>0</v>
      </c>
      <c r="M20" s="17">
        <v>0</v>
      </c>
      <c r="N20" s="25">
        <v>19</v>
      </c>
    </row>
    <row r="21" customHeight="1" spans="1:14">
      <c r="A21" s="1">
        <v>116</v>
      </c>
      <c r="B21" s="1" t="s">
        <v>13</v>
      </c>
      <c r="C21" s="1" t="b">
        <v>0</v>
      </c>
      <c r="D21" s="1" t="s">
        <v>90</v>
      </c>
      <c r="E21" s="1" t="s">
        <v>91</v>
      </c>
      <c r="F21" s="1" t="s">
        <v>92</v>
      </c>
      <c r="G21" s="1" t="s">
        <v>93</v>
      </c>
      <c r="H21" s="4">
        <v>0</v>
      </c>
      <c r="I21" s="19">
        <v>1</v>
      </c>
      <c r="J21" s="20">
        <v>1</v>
      </c>
      <c r="K21" s="21">
        <v>1</v>
      </c>
      <c r="L21" s="22">
        <v>0</v>
      </c>
      <c r="M21" s="23">
        <v>0</v>
      </c>
      <c r="N21" s="25">
        <v>20</v>
      </c>
    </row>
    <row r="22" customHeight="1" spans="1:14">
      <c r="A22" s="1">
        <v>32</v>
      </c>
      <c r="B22" s="1" t="s">
        <v>13</v>
      </c>
      <c r="C22" s="1" t="b">
        <v>1</v>
      </c>
      <c r="D22" s="1" t="s">
        <v>94</v>
      </c>
      <c r="E22" s="1" t="s">
        <v>95</v>
      </c>
      <c r="F22" s="1" t="s">
        <v>96</v>
      </c>
      <c r="G22" s="1" t="s">
        <v>97</v>
      </c>
      <c r="H22" s="4">
        <v>0</v>
      </c>
      <c r="I22" s="19">
        <v>0</v>
      </c>
      <c r="J22" s="20">
        <v>1</v>
      </c>
      <c r="K22" s="21">
        <v>0</v>
      </c>
      <c r="L22" s="22">
        <v>0</v>
      </c>
      <c r="M22" s="17">
        <v>0</v>
      </c>
      <c r="N22" s="25">
        <v>21</v>
      </c>
    </row>
    <row r="23" customHeight="1" spans="1:14">
      <c r="A23" s="1">
        <v>119</v>
      </c>
      <c r="B23" s="1" t="s">
        <v>13</v>
      </c>
      <c r="C23" s="1" t="b">
        <v>0</v>
      </c>
      <c r="D23" s="1" t="s">
        <v>98</v>
      </c>
      <c r="E23" s="1" t="s">
        <v>99</v>
      </c>
      <c r="F23" s="1" t="s">
        <v>100</v>
      </c>
      <c r="G23" s="1" t="s">
        <v>101</v>
      </c>
      <c r="H23" s="4">
        <v>0</v>
      </c>
      <c r="I23" s="19">
        <v>1</v>
      </c>
      <c r="J23" s="20">
        <v>1</v>
      </c>
      <c r="K23" s="21">
        <v>1</v>
      </c>
      <c r="L23" s="22">
        <v>0</v>
      </c>
      <c r="M23" s="17">
        <v>0</v>
      </c>
      <c r="N23" s="25">
        <v>22</v>
      </c>
    </row>
    <row r="24" customHeight="1" spans="1:14">
      <c r="A24" s="1">
        <v>134</v>
      </c>
      <c r="B24" s="1" t="s">
        <v>13</v>
      </c>
      <c r="C24" s="1" t="b">
        <v>0</v>
      </c>
      <c r="D24" s="1" t="s">
        <v>102</v>
      </c>
      <c r="E24" s="1" t="s">
        <v>103</v>
      </c>
      <c r="F24" s="1" t="s">
        <v>104</v>
      </c>
      <c r="G24" s="1" t="s">
        <v>105</v>
      </c>
      <c r="H24" s="4">
        <v>0</v>
      </c>
      <c r="I24" s="19">
        <v>1</v>
      </c>
      <c r="J24" s="20">
        <v>1</v>
      </c>
      <c r="K24" s="21">
        <v>0</v>
      </c>
      <c r="L24" s="22">
        <v>0</v>
      </c>
      <c r="M24" s="17">
        <v>0</v>
      </c>
      <c r="N24" s="25">
        <v>23</v>
      </c>
    </row>
    <row r="25" customHeight="1" spans="1:14">
      <c r="A25" s="1">
        <v>61</v>
      </c>
      <c r="B25" s="1" t="b">
        <v>0</v>
      </c>
      <c r="C25" s="1" t="s">
        <v>13</v>
      </c>
      <c r="D25" s="1" t="s">
        <v>106</v>
      </c>
      <c r="E25" s="1" t="s">
        <v>107</v>
      </c>
      <c r="F25" s="1" t="s">
        <v>108</v>
      </c>
      <c r="G25" s="1" t="s">
        <v>109</v>
      </c>
      <c r="H25" s="4">
        <v>0</v>
      </c>
      <c r="I25" s="19">
        <v>1</v>
      </c>
      <c r="J25" s="20">
        <v>1</v>
      </c>
      <c r="K25" s="21">
        <v>0</v>
      </c>
      <c r="L25" s="22">
        <v>0</v>
      </c>
      <c r="M25" s="23">
        <v>0</v>
      </c>
      <c r="N25" s="25">
        <v>24</v>
      </c>
    </row>
    <row r="26" customHeight="1" spans="1:14">
      <c r="A26" s="1">
        <v>66</v>
      </c>
      <c r="B26" s="1" t="b">
        <v>1</v>
      </c>
      <c r="C26" s="1" t="s">
        <v>13</v>
      </c>
      <c r="D26" s="1" t="s">
        <v>110</v>
      </c>
      <c r="E26" s="1" t="s">
        <v>111</v>
      </c>
      <c r="F26" s="1" t="s">
        <v>112</v>
      </c>
      <c r="G26" s="1" t="s">
        <v>113</v>
      </c>
      <c r="H26" s="4">
        <v>0</v>
      </c>
      <c r="I26" s="19">
        <v>0</v>
      </c>
      <c r="J26" s="20">
        <v>0</v>
      </c>
      <c r="K26" s="21">
        <v>0</v>
      </c>
      <c r="L26" s="22">
        <v>1</v>
      </c>
      <c r="M26" s="17">
        <v>0</v>
      </c>
      <c r="N26" s="25">
        <v>25</v>
      </c>
    </row>
    <row r="27" customHeight="1" spans="1:14">
      <c r="A27" s="1">
        <v>27</v>
      </c>
      <c r="B27" s="1" t="b">
        <v>1</v>
      </c>
      <c r="C27" s="1" t="b">
        <v>0</v>
      </c>
      <c r="D27" s="1" t="s">
        <v>114</v>
      </c>
      <c r="E27" s="1" t="s">
        <v>115</v>
      </c>
      <c r="F27" s="1" t="s">
        <v>116</v>
      </c>
      <c r="G27" s="1" t="s">
        <v>117</v>
      </c>
      <c r="H27" s="4">
        <v>0</v>
      </c>
      <c r="I27" s="19">
        <v>1</v>
      </c>
      <c r="J27" s="20">
        <v>1</v>
      </c>
      <c r="K27" s="21">
        <v>1</v>
      </c>
      <c r="L27" s="22">
        <v>0</v>
      </c>
      <c r="M27" s="17">
        <v>0</v>
      </c>
      <c r="N27" s="25">
        <v>26</v>
      </c>
    </row>
    <row r="28" customHeight="1" spans="1:14">
      <c r="A28" s="1">
        <v>117</v>
      </c>
      <c r="B28" s="1" t="b">
        <v>1</v>
      </c>
      <c r="C28" s="1" t="b">
        <v>0</v>
      </c>
      <c r="D28" s="1" t="s">
        <v>118</v>
      </c>
      <c r="E28" s="1" t="s">
        <v>119</v>
      </c>
      <c r="F28" s="1" t="s">
        <v>120</v>
      </c>
      <c r="G28" s="1" t="s">
        <v>121</v>
      </c>
      <c r="H28" s="4">
        <v>0</v>
      </c>
      <c r="I28" s="19">
        <v>1</v>
      </c>
      <c r="J28" s="20">
        <v>1</v>
      </c>
      <c r="K28" s="21">
        <v>1</v>
      </c>
      <c r="L28" s="22">
        <v>0</v>
      </c>
      <c r="M28" s="17">
        <v>0</v>
      </c>
      <c r="N28" s="25">
        <v>27</v>
      </c>
    </row>
    <row r="29" customHeight="1" spans="1:14">
      <c r="A29" s="1">
        <v>120</v>
      </c>
      <c r="B29" s="1" t="b">
        <v>1</v>
      </c>
      <c r="C29" s="1" t="b">
        <v>0</v>
      </c>
      <c r="D29" s="1" t="s">
        <v>122</v>
      </c>
      <c r="E29" s="1" t="s">
        <v>123</v>
      </c>
      <c r="F29" s="1" t="s">
        <v>124</v>
      </c>
      <c r="G29" s="1" t="s">
        <v>125</v>
      </c>
      <c r="H29" s="4">
        <v>0</v>
      </c>
      <c r="I29" s="19">
        <v>1</v>
      </c>
      <c r="J29" s="20">
        <v>1</v>
      </c>
      <c r="K29" s="21">
        <v>1</v>
      </c>
      <c r="L29" s="22">
        <v>0</v>
      </c>
      <c r="M29" s="23">
        <v>0</v>
      </c>
      <c r="N29" s="25">
        <v>28</v>
      </c>
    </row>
    <row r="30" customHeight="1" spans="1:14">
      <c r="A30" s="1">
        <v>62</v>
      </c>
      <c r="B30" s="1" t="s">
        <v>13</v>
      </c>
      <c r="C30" s="1" t="b">
        <v>0</v>
      </c>
      <c r="D30" s="1" t="s">
        <v>126</v>
      </c>
      <c r="E30" s="1" t="s">
        <v>127</v>
      </c>
      <c r="F30" s="1" t="s">
        <v>128</v>
      </c>
      <c r="G30" s="1" t="s">
        <v>129</v>
      </c>
      <c r="H30" s="4">
        <v>0</v>
      </c>
      <c r="I30" s="19">
        <v>1</v>
      </c>
      <c r="J30" s="20">
        <v>1</v>
      </c>
      <c r="K30" s="21">
        <v>1</v>
      </c>
      <c r="L30" s="22">
        <v>0</v>
      </c>
      <c r="M30" s="17">
        <v>0</v>
      </c>
      <c r="N30" s="25">
        <v>29</v>
      </c>
    </row>
    <row r="31" customHeight="1" spans="1:14">
      <c r="A31" s="1">
        <v>132</v>
      </c>
      <c r="B31" s="1" t="b">
        <v>1</v>
      </c>
      <c r="C31" s="1" t="b">
        <v>0</v>
      </c>
      <c r="D31" s="1" t="s">
        <v>130</v>
      </c>
      <c r="E31" s="1" t="s">
        <v>131</v>
      </c>
      <c r="F31" s="1" t="s">
        <v>132</v>
      </c>
      <c r="G31" s="1" t="s">
        <v>133</v>
      </c>
      <c r="H31" s="4">
        <v>0</v>
      </c>
      <c r="I31" s="19">
        <v>1</v>
      </c>
      <c r="J31" s="20">
        <v>1</v>
      </c>
      <c r="K31" s="21">
        <v>1</v>
      </c>
      <c r="L31" s="22">
        <v>0</v>
      </c>
      <c r="M31" s="17">
        <v>0</v>
      </c>
      <c r="N31" s="25">
        <v>30</v>
      </c>
    </row>
    <row r="32" customHeight="1" spans="1:14">
      <c r="A32" s="1">
        <v>23</v>
      </c>
      <c r="B32" s="1" t="s">
        <v>13</v>
      </c>
      <c r="C32" s="1" t="b">
        <v>1</v>
      </c>
      <c r="D32" s="1" t="s">
        <v>134</v>
      </c>
      <c r="E32" s="1" t="s">
        <v>135</v>
      </c>
      <c r="F32" s="1" t="s">
        <v>136</v>
      </c>
      <c r="G32" s="1" t="s">
        <v>137</v>
      </c>
      <c r="H32" s="4">
        <v>0</v>
      </c>
      <c r="I32" s="19">
        <v>0</v>
      </c>
      <c r="J32" s="20">
        <v>1</v>
      </c>
      <c r="K32" s="21">
        <v>0</v>
      </c>
      <c r="L32" s="22">
        <v>1</v>
      </c>
      <c r="M32" s="17">
        <v>0</v>
      </c>
      <c r="N32" s="25">
        <v>31</v>
      </c>
    </row>
    <row r="33" customHeight="1" spans="1:14">
      <c r="A33" s="1">
        <v>121</v>
      </c>
      <c r="B33" s="1" t="b">
        <v>0</v>
      </c>
      <c r="C33" s="1" t="s">
        <v>13</v>
      </c>
      <c r="D33" s="1" t="s">
        <v>138</v>
      </c>
      <c r="E33" s="1" t="s">
        <v>139</v>
      </c>
      <c r="F33" s="1" t="s">
        <v>140</v>
      </c>
      <c r="G33" s="1" t="s">
        <v>141</v>
      </c>
      <c r="H33" s="4">
        <v>0</v>
      </c>
      <c r="I33" s="19">
        <v>1</v>
      </c>
      <c r="J33" s="20">
        <v>0</v>
      </c>
      <c r="K33" s="21">
        <v>0</v>
      </c>
      <c r="L33" s="22">
        <v>1</v>
      </c>
      <c r="M33" s="23">
        <v>0</v>
      </c>
      <c r="N33" s="25">
        <v>32</v>
      </c>
    </row>
    <row r="34" customHeight="1" spans="1:14">
      <c r="A34" s="1">
        <v>14</v>
      </c>
      <c r="B34" s="1" t="s">
        <v>13</v>
      </c>
      <c r="C34" s="1" t="s">
        <v>142</v>
      </c>
      <c r="D34" s="1" t="s">
        <v>143</v>
      </c>
      <c r="E34" s="1" t="s">
        <v>144</v>
      </c>
      <c r="F34" s="1" t="s">
        <v>145</v>
      </c>
      <c r="G34" s="1" t="s">
        <v>146</v>
      </c>
      <c r="H34" s="5">
        <v>0</v>
      </c>
      <c r="I34" s="26">
        <v>0</v>
      </c>
      <c r="J34" s="27">
        <v>0</v>
      </c>
      <c r="K34" s="28">
        <v>0</v>
      </c>
      <c r="L34" s="29">
        <v>0</v>
      </c>
      <c r="M34" s="30">
        <v>1</v>
      </c>
      <c r="N34" s="31">
        <v>33</v>
      </c>
    </row>
    <row r="35" customHeight="1" spans="1:14">
      <c r="A35" s="1">
        <v>79</v>
      </c>
      <c r="B35" s="1" t="b">
        <v>0</v>
      </c>
      <c r="C35" s="1" t="s">
        <v>13</v>
      </c>
      <c r="D35" s="1" t="s">
        <v>147</v>
      </c>
      <c r="E35" s="1" t="s">
        <v>148</v>
      </c>
      <c r="F35" s="1" t="s">
        <v>149</v>
      </c>
      <c r="G35" t="s">
        <v>150</v>
      </c>
      <c r="H35" s="4">
        <v>1</v>
      </c>
      <c r="I35" s="19">
        <v>1</v>
      </c>
      <c r="J35" s="20">
        <v>0</v>
      </c>
      <c r="K35" s="21">
        <v>0</v>
      </c>
      <c r="L35" s="22">
        <v>1</v>
      </c>
      <c r="M35" s="17">
        <v>0</v>
      </c>
      <c r="N35" s="25">
        <v>34</v>
      </c>
    </row>
    <row r="36" customHeight="1" spans="1:14">
      <c r="A36" s="1">
        <v>86</v>
      </c>
      <c r="B36" s="1" t="s">
        <v>13</v>
      </c>
      <c r="C36" s="1" t="b">
        <v>1</v>
      </c>
      <c r="D36" s="1" t="s">
        <v>151</v>
      </c>
      <c r="E36" s="1" t="s">
        <v>152</v>
      </c>
      <c r="F36" s="1" t="s">
        <v>153</v>
      </c>
      <c r="G36" t="s">
        <v>154</v>
      </c>
      <c r="H36" s="4">
        <v>0</v>
      </c>
      <c r="I36" s="19">
        <v>0</v>
      </c>
      <c r="J36" s="20">
        <v>0</v>
      </c>
      <c r="K36" s="21">
        <v>0</v>
      </c>
      <c r="L36" s="22">
        <v>1</v>
      </c>
      <c r="M36" s="17">
        <v>0</v>
      </c>
      <c r="N36" s="25">
        <v>35</v>
      </c>
    </row>
    <row r="37" customHeight="1" spans="1:14">
      <c r="A37" s="1">
        <v>33</v>
      </c>
      <c r="B37" s="1" t="b">
        <v>1</v>
      </c>
      <c r="C37" s="1" t="b">
        <v>0</v>
      </c>
      <c r="D37" s="1" t="s">
        <v>155</v>
      </c>
      <c r="E37" s="1" t="s">
        <v>156</v>
      </c>
      <c r="F37" s="1" t="s">
        <v>157</v>
      </c>
      <c r="G37" s="1" t="s">
        <v>158</v>
      </c>
      <c r="H37" s="4">
        <v>1</v>
      </c>
      <c r="I37" s="19">
        <v>1</v>
      </c>
      <c r="J37" s="20">
        <v>1</v>
      </c>
      <c r="K37" s="21">
        <v>0</v>
      </c>
      <c r="L37" s="22">
        <v>0</v>
      </c>
      <c r="M37" s="23">
        <v>0</v>
      </c>
      <c r="N37" s="25">
        <v>36</v>
      </c>
    </row>
    <row r="38" customHeight="1" spans="1:14">
      <c r="A38" s="1">
        <v>84</v>
      </c>
      <c r="B38" s="1" t="b">
        <v>1</v>
      </c>
      <c r="C38" s="1" t="b">
        <v>0</v>
      </c>
      <c r="D38" s="1" t="s">
        <v>159</v>
      </c>
      <c r="E38" s="1" t="s">
        <v>160</v>
      </c>
      <c r="F38" s="1" t="s">
        <v>161</v>
      </c>
      <c r="G38" s="1" t="s">
        <v>162</v>
      </c>
      <c r="H38" s="4">
        <v>0</v>
      </c>
      <c r="I38" s="19">
        <v>1</v>
      </c>
      <c r="J38" s="20">
        <v>1</v>
      </c>
      <c r="K38" s="21">
        <v>1</v>
      </c>
      <c r="L38" s="22">
        <v>0</v>
      </c>
      <c r="M38" s="17">
        <v>0</v>
      </c>
      <c r="N38" s="25">
        <v>37</v>
      </c>
    </row>
    <row r="39" customHeight="1" spans="1:14">
      <c r="A39" s="1">
        <v>68</v>
      </c>
      <c r="B39" s="1" t="s">
        <v>13</v>
      </c>
      <c r="C39" s="1" t="b">
        <v>0</v>
      </c>
      <c r="D39" s="1" t="s">
        <v>163</v>
      </c>
      <c r="E39" s="1" t="s">
        <v>164</v>
      </c>
      <c r="F39" s="1" t="s">
        <v>165</v>
      </c>
      <c r="G39" s="1" t="s">
        <v>166</v>
      </c>
      <c r="H39" s="4">
        <v>1</v>
      </c>
      <c r="I39" s="19">
        <v>1</v>
      </c>
      <c r="J39" s="20">
        <v>1</v>
      </c>
      <c r="K39" s="21">
        <v>0</v>
      </c>
      <c r="L39" s="22">
        <v>1</v>
      </c>
      <c r="M39" s="17">
        <v>0</v>
      </c>
      <c r="N39" s="25">
        <v>38</v>
      </c>
    </row>
    <row r="40" customHeight="1" spans="1:14">
      <c r="A40" s="1">
        <v>18</v>
      </c>
      <c r="B40" s="1" t="b">
        <v>1</v>
      </c>
      <c r="C40" s="1" t="s">
        <v>13</v>
      </c>
      <c r="D40" s="1" t="s">
        <v>167</v>
      </c>
      <c r="E40" s="1" t="s">
        <v>168</v>
      </c>
      <c r="F40" s="1" t="s">
        <v>169</v>
      </c>
      <c r="G40" s="1" t="s">
        <v>170</v>
      </c>
      <c r="H40" s="4">
        <v>1</v>
      </c>
      <c r="I40" s="19">
        <v>0</v>
      </c>
      <c r="J40" s="20">
        <v>0</v>
      </c>
      <c r="K40" s="21">
        <v>0</v>
      </c>
      <c r="L40" s="22">
        <v>1</v>
      </c>
      <c r="M40" s="17">
        <v>0</v>
      </c>
      <c r="N40" s="25">
        <v>39</v>
      </c>
    </row>
    <row r="41" customHeight="1" spans="1:14">
      <c r="A41" s="1">
        <v>137</v>
      </c>
      <c r="B41" s="1" t="s">
        <v>13</v>
      </c>
      <c r="C41" s="1" t="b">
        <v>0</v>
      </c>
      <c r="D41" s="1" t="s">
        <v>171</v>
      </c>
      <c r="E41" s="1" t="s">
        <v>172</v>
      </c>
      <c r="F41" s="1" t="s">
        <v>173</v>
      </c>
      <c r="G41" s="1" t="s">
        <v>174</v>
      </c>
      <c r="H41" s="4">
        <v>0</v>
      </c>
      <c r="I41" s="19">
        <v>1</v>
      </c>
      <c r="J41" s="20">
        <v>1</v>
      </c>
      <c r="K41" s="21">
        <v>0</v>
      </c>
      <c r="L41" s="22">
        <v>0</v>
      </c>
      <c r="M41" s="23">
        <v>0</v>
      </c>
      <c r="N41" s="25">
        <v>40</v>
      </c>
    </row>
    <row r="42" customHeight="1" spans="1:14">
      <c r="A42" s="1">
        <v>54</v>
      </c>
      <c r="B42" s="1" t="b">
        <v>1</v>
      </c>
      <c r="C42" s="1" t="b">
        <v>0</v>
      </c>
      <c r="D42" s="1" t="s">
        <v>175</v>
      </c>
      <c r="E42" s="1" t="s">
        <v>176</v>
      </c>
      <c r="F42" s="1" t="s">
        <v>177</v>
      </c>
      <c r="G42" s="1" t="s">
        <v>178</v>
      </c>
      <c r="H42" s="4">
        <v>1</v>
      </c>
      <c r="I42" s="19">
        <v>1</v>
      </c>
      <c r="J42" s="20">
        <v>1</v>
      </c>
      <c r="K42" s="21">
        <v>1</v>
      </c>
      <c r="L42" s="22">
        <v>0</v>
      </c>
      <c r="M42" s="17">
        <v>0</v>
      </c>
      <c r="N42" s="25">
        <v>41</v>
      </c>
    </row>
    <row r="43" customHeight="1" spans="1:14">
      <c r="A43" s="1">
        <v>38</v>
      </c>
      <c r="B43" s="1" t="s">
        <v>13</v>
      </c>
      <c r="C43" s="1" t="b">
        <v>0</v>
      </c>
      <c r="D43" s="1" t="s">
        <v>179</v>
      </c>
      <c r="E43" s="1" t="s">
        <v>180</v>
      </c>
      <c r="F43" s="1" t="s">
        <v>181</v>
      </c>
      <c r="G43" s="1" t="s">
        <v>182</v>
      </c>
      <c r="H43" s="4">
        <v>1</v>
      </c>
      <c r="I43" s="19">
        <v>1</v>
      </c>
      <c r="J43" s="20">
        <v>0</v>
      </c>
      <c r="K43" s="21">
        <v>0</v>
      </c>
      <c r="L43" s="22">
        <v>1</v>
      </c>
      <c r="M43" s="17">
        <v>0</v>
      </c>
      <c r="N43" s="25">
        <v>42</v>
      </c>
    </row>
    <row r="44" customHeight="1" spans="1:14">
      <c r="A44" s="1">
        <v>131</v>
      </c>
      <c r="B44" s="1" t="s">
        <v>13</v>
      </c>
      <c r="C44" s="1" t="b">
        <v>0</v>
      </c>
      <c r="D44" s="1" t="s">
        <v>183</v>
      </c>
      <c r="E44" s="1" t="s">
        <v>184</v>
      </c>
      <c r="F44" s="1" t="s">
        <v>185</v>
      </c>
      <c r="G44" s="1" t="s">
        <v>186</v>
      </c>
      <c r="H44" s="4">
        <v>1</v>
      </c>
      <c r="I44" s="19">
        <v>1</v>
      </c>
      <c r="J44" s="20">
        <v>1</v>
      </c>
      <c r="K44" s="21">
        <v>1</v>
      </c>
      <c r="L44" s="22">
        <v>0</v>
      </c>
      <c r="M44" s="17">
        <v>0</v>
      </c>
      <c r="N44" s="25">
        <v>43</v>
      </c>
    </row>
    <row r="45" customHeight="1" spans="1:14">
      <c r="A45" s="1">
        <v>52</v>
      </c>
      <c r="B45" s="1" t="b">
        <v>0</v>
      </c>
      <c r="C45" s="1" t="s">
        <v>13</v>
      </c>
      <c r="D45" s="1" t="s">
        <v>187</v>
      </c>
      <c r="E45" s="1" t="s">
        <v>188</v>
      </c>
      <c r="F45" s="1" t="s">
        <v>189</v>
      </c>
      <c r="G45" s="1" t="s">
        <v>190</v>
      </c>
      <c r="H45" s="4">
        <v>1</v>
      </c>
      <c r="I45" s="19">
        <v>0</v>
      </c>
      <c r="J45" s="20">
        <v>0</v>
      </c>
      <c r="K45" s="21">
        <v>0</v>
      </c>
      <c r="L45" s="22">
        <v>1</v>
      </c>
      <c r="M45" s="23">
        <v>0</v>
      </c>
      <c r="N45" s="25">
        <v>44</v>
      </c>
    </row>
    <row r="46" customHeight="1" spans="1:14">
      <c r="A46" s="1">
        <v>95</v>
      </c>
      <c r="B46" s="1" t="s">
        <v>13</v>
      </c>
      <c r="C46" s="1" t="b">
        <v>0</v>
      </c>
      <c r="D46" s="1" t="s">
        <v>191</v>
      </c>
      <c r="E46" s="1" t="s">
        <v>192</v>
      </c>
      <c r="F46" s="1" t="s">
        <v>193</v>
      </c>
      <c r="G46" s="1" t="s">
        <v>194</v>
      </c>
      <c r="H46" s="4">
        <v>0</v>
      </c>
      <c r="I46" s="19">
        <v>1</v>
      </c>
      <c r="J46" s="20">
        <v>0</v>
      </c>
      <c r="K46" s="21">
        <v>0</v>
      </c>
      <c r="L46" s="22">
        <v>0</v>
      </c>
      <c r="M46" s="17">
        <v>0</v>
      </c>
      <c r="N46" s="25">
        <v>45</v>
      </c>
    </row>
    <row r="47" customHeight="1" spans="1:14">
      <c r="A47" s="1">
        <v>30</v>
      </c>
      <c r="B47" s="1" t="b">
        <v>1</v>
      </c>
      <c r="C47" s="1" t="b">
        <v>0</v>
      </c>
      <c r="D47" s="1" t="s">
        <v>195</v>
      </c>
      <c r="E47" s="1" t="s">
        <v>196</v>
      </c>
      <c r="F47" s="1" t="s">
        <v>197</v>
      </c>
      <c r="G47" s="1" t="s">
        <v>198</v>
      </c>
      <c r="H47" s="4">
        <v>1</v>
      </c>
      <c r="I47" s="19">
        <v>1</v>
      </c>
      <c r="J47" s="20">
        <v>1</v>
      </c>
      <c r="K47" s="21">
        <v>0</v>
      </c>
      <c r="L47" s="22">
        <v>0</v>
      </c>
      <c r="M47" s="17">
        <v>0</v>
      </c>
      <c r="N47" s="25">
        <v>46</v>
      </c>
    </row>
    <row r="48" customHeight="1" spans="1:14">
      <c r="A48" s="1">
        <v>50</v>
      </c>
      <c r="B48" s="1" t="s">
        <v>13</v>
      </c>
      <c r="C48" s="1" t="b">
        <v>0</v>
      </c>
      <c r="D48" s="1" t="s">
        <v>199</v>
      </c>
      <c r="E48" s="1" t="s">
        <v>200</v>
      </c>
      <c r="F48" s="1" t="s">
        <v>201</v>
      </c>
      <c r="G48" s="1" t="s">
        <v>202</v>
      </c>
      <c r="H48" s="4">
        <v>0</v>
      </c>
      <c r="I48" s="19">
        <v>1</v>
      </c>
      <c r="J48" s="20">
        <v>0</v>
      </c>
      <c r="K48" s="21">
        <v>0</v>
      </c>
      <c r="L48" s="22">
        <v>0</v>
      </c>
      <c r="M48" s="17">
        <v>0</v>
      </c>
      <c r="N48" s="25">
        <v>47</v>
      </c>
    </row>
    <row r="49" customHeight="1" spans="1:14">
      <c r="A49" s="1">
        <v>9</v>
      </c>
      <c r="B49" s="1" t="b">
        <v>1</v>
      </c>
      <c r="C49" s="1" t="b">
        <v>0</v>
      </c>
      <c r="D49" s="1" t="s">
        <v>203</v>
      </c>
      <c r="E49" s="1" t="s">
        <v>204</v>
      </c>
      <c r="F49" s="1" t="s">
        <v>205</v>
      </c>
      <c r="G49" s="1" t="s">
        <v>206</v>
      </c>
      <c r="H49" s="4">
        <v>1</v>
      </c>
      <c r="I49" s="19">
        <v>1</v>
      </c>
      <c r="J49" s="20">
        <v>0</v>
      </c>
      <c r="K49" s="21">
        <v>0</v>
      </c>
      <c r="L49" s="22">
        <v>1</v>
      </c>
      <c r="M49" s="23">
        <v>0</v>
      </c>
      <c r="N49" s="25">
        <v>48</v>
      </c>
    </row>
    <row r="50" customHeight="1" spans="1:14">
      <c r="A50" s="1">
        <v>35</v>
      </c>
      <c r="B50" s="1" t="s">
        <v>13</v>
      </c>
      <c r="C50" s="1" t="b">
        <v>1</v>
      </c>
      <c r="D50" s="1" t="s">
        <v>207</v>
      </c>
      <c r="E50" s="1" t="s">
        <v>208</v>
      </c>
      <c r="F50" s="1" t="s">
        <v>209</v>
      </c>
      <c r="G50" s="1" t="s">
        <v>210</v>
      </c>
      <c r="H50" s="4">
        <v>0</v>
      </c>
      <c r="I50" s="19">
        <v>1</v>
      </c>
      <c r="J50" s="20">
        <v>1</v>
      </c>
      <c r="K50" s="21">
        <v>0</v>
      </c>
      <c r="L50" s="22">
        <v>0</v>
      </c>
      <c r="M50" s="17">
        <v>0</v>
      </c>
      <c r="N50" s="25">
        <v>49</v>
      </c>
    </row>
    <row r="51" customHeight="1" spans="1:14">
      <c r="A51" s="1">
        <v>74</v>
      </c>
      <c r="B51" s="1" t="s">
        <v>13</v>
      </c>
      <c r="C51" s="1" t="b">
        <v>0</v>
      </c>
      <c r="D51" s="1" t="s">
        <v>211</v>
      </c>
      <c r="E51" s="1" t="s">
        <v>39</v>
      </c>
      <c r="F51" s="1" t="s">
        <v>212</v>
      </c>
      <c r="G51" s="1" t="s">
        <v>213</v>
      </c>
      <c r="H51" s="4">
        <v>0</v>
      </c>
      <c r="I51" s="19">
        <v>1</v>
      </c>
      <c r="J51" s="20">
        <v>0</v>
      </c>
      <c r="K51" s="21">
        <v>1</v>
      </c>
      <c r="L51" s="22">
        <v>0</v>
      </c>
      <c r="M51" s="17">
        <v>0</v>
      </c>
      <c r="N51" s="25">
        <v>50</v>
      </c>
    </row>
    <row r="52" customHeight="1" spans="8:14">
      <c r="H52" s="6">
        <f t="shared" ref="H52:M52" si="0">SUM(H2:H51)</f>
        <v>14</v>
      </c>
      <c r="I52" s="6">
        <f t="shared" si="0"/>
        <v>38</v>
      </c>
      <c r="J52" s="6">
        <f t="shared" si="0"/>
        <v>31</v>
      </c>
      <c r="K52" s="6">
        <f t="shared" si="0"/>
        <v>18</v>
      </c>
      <c r="L52" s="6">
        <f t="shared" si="0"/>
        <v>15</v>
      </c>
      <c r="M52" s="6">
        <f t="shared" si="0"/>
        <v>1</v>
      </c>
      <c r="N52" s="3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error_analysis_50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39330</cp:lastModifiedBy>
  <dcterms:created xsi:type="dcterms:W3CDTF">2026-04-02T13:43:55Z</dcterms:created>
  <dcterms:modified xsi:type="dcterms:W3CDTF">2026-04-02T13:45:49Z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280F72A815BD4890A522AD6F3CBA09A0_12</vt:lpwstr>
  </property>
  <property fmtid="{D5CDD505-2E9C-101B-9397-08002B2CF9AE}" pid="3" name="KSOProductBuildVer">
    <vt:lpwstr>2057-12.2.0.23197</vt:lpwstr>
  </property>
</Properties>
</file>