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mc:AlternateContent xmlns:mc="http://schemas.openxmlformats.org/markup-compatibility/2006">
    <mc:Choice Requires="x15">
      <x15ac:absPath xmlns:x15ac="http://schemas.microsoft.com/office/spreadsheetml/2010/11/ac" url="/Users/evelynwang/Desktop/error analysis/"/>
    </mc:Choice>
  </mc:AlternateContent>
  <xr:revisionPtr revIDLastSave="0" documentId="13_ncr:1_{DCACD01F-0162-8649-9B4A-8727D59FA90F}" xr6:coauthVersionLast="47" xr6:coauthVersionMax="47" xr10:uidLastSave="{00000000-0000-0000-0000-000000000000}"/>
  <bookViews>
    <workbookView xWindow="5920" yWindow="760" windowWidth="23480" windowHeight="17460" xr2:uid="{00000000-000D-0000-FFFF-FFFF00000000}"/>
  </bookViews>
  <sheets>
    <sheet name="error_analysis_5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2" i="1" l="1"/>
  <c r="O52" i="1"/>
  <c r="M52" i="1"/>
  <c r="K52" i="1"/>
  <c r="I52" i="1"/>
  <c r="G52" i="1"/>
  <c r="H52" i="1"/>
  <c r="P52" i="1"/>
  <c r="N52" i="1"/>
  <c r="L52" i="1"/>
  <c r="J52" i="1"/>
  <c r="F52" i="1"/>
</calcChain>
</file>

<file path=xl/sharedStrings.xml><?xml version="1.0" encoding="utf-8"?>
<sst xmlns="http://schemas.openxmlformats.org/spreadsheetml/2006/main" count="155" uniqueCount="118">
  <si>
    <t>index</t>
  </si>
  <si>
    <t>true_label</t>
  </si>
  <si>
    <t>predicted_label</t>
  </si>
  <si>
    <t>claim</t>
  </si>
  <si>
    <t>evidence</t>
  </si>
  <si>
    <t>PARTIALLY TRUE</t>
  </si>
  <si>
    <t>Based on the patient's data where the age is 39 years, the Liver disease severity is none, the Moderate to severe Chronic Kidney Disease is no, the CCI Score is -2.</t>
  </si>
  <si>
    <t>In March 2014, a 39-year-old Korean professional male soldier presented with a 6-month history of various nonspecific symptoms. He received hospital treatment and underwent several health examinations; however, no specific findings were observed. The symptoms were dizziness, fatigue, asthenia, irritability, elevated blood pressure (above systolic 160 mmHg), palpitation, eyestrain, and tinnitus, which aggravated with time. The patient had an unremarkable medical history and was a current smoker (0.7 pack/day for 15 years). He consumed 700 mL of beer once a week. The patient had worked for 13 months in a newly constructed indoor firing range. He performed general management of the indoor firing range. His work included setting the firing range (preparing the bullets and targets) before the firing exercises, and cleaning and handling the disposed warheads after the firing exercises. There was much gray-black dust during the cleaning process; however, he did not wear any special protective equipment. His BLL was measured owing to suspicion of heavy metal poisoning; 0.1 mL of whole blood was diluted with 0.8 mL 1%Triton™ X-100 (Sigma-Aldrich, St. Louis, MO, USA) and analyzed for BLL using graphite furnace atomic absorption spectrometry (novAA 400p;Analytik Jena AG, Jena, Germany). The BLL was estimated at 64 µg/dL; therefore, the patient was diagnosed with lead poisoning and immediately withdrawn from his work to avoid further lead exposure. The standard for elevated BLL among adults is 10 µg/dL, as determined by the Adult Blood Lead Epidemiology &amp; Surveillance from the National Institute for Occupational Safety and Health (NIOSH) (). The Occupational Safety and Health Administration (OSHA)'s occupational exposure limit for BLL is 40 µg/dL (). Korean blood-lead criteria for the diagnosis of lead poisoning in workers is 40 μg/dL (). The patient was immediately admitted to the military hospital and investigated thoroughly. His examination revealed elevated blood pressure (150/110 mmHg), and the peripheral blood smear showed poikilocytosis. The liver function test, renal function test, complete blood count, and differential count were within normal ranges. His urine tested negative for microproteinuria. According to the examination by the neurologist, there were no significant findings in the electromyography, nerve conduction velocity, brain magnetic resonance imaging, and neurologic tests. The hearing test indicated mild hearing loss (hearing threshold: right/left = 35/35 dB) at 4 kHz, and he was diagnosed with dry eye by the ophthalmologist; he received treatments from the respective departments. The treatment for lead poisoning included avoidance of the harmful factor (prohibition of work) for 3 weeks following which he underwent BLL measurement. The BLL was 39 µg/dL and the blood zinc protoporphyrin (ZPP) level was 45.1 µg/dL (reference range: 10–38 µg/dL). He showed no improvement of symptoms; hence, for an intensive BLL decrease chelation treatment was administered. For the chelation treatment, 1 gram of calcium-disodium ethylenediaminetetraacetic acid (CaNa2 EDTA) was mixed with 250 mL of 5% dextrose (JW Life Science Corp, Seoul, Korea) in water and was administered intravenously over 6 hours. The chelation treatment was given for 5 days, and the renal functions and liver functions were assessed daily. He completed 5 days of chelation treatment with no adverse effects. He was discharged after his blood pressure normalized (130/85 mmHg) and the subjective symptoms improved. Three weeks after the discharge (7 weeks after lead exposure avoidance), the BLL was 9.7 µg/dL (). As evident from the workplace environmental monitoring (April 2 to April 15, 2014), the exposure in the air was an 8hours, time-weighted average of 0.015–0.387 mg/m3, which exceeded the acceptable standards (0.05 mg/m3) () (). From the field investigations, it was confirmed that a swirl formed in the indoor firing range from inappropriate filter use (using a charcoal filter instead of a dust filter) and poor design of the ventilation system. The dust accumulated as it was not discharged outside the indoor firing range, and entered the body through the respiratory tract and oral intake before and after the firing and during cleaning and disposal of the warheads.</t>
  </si>
  <si>
    <t>Based on the patient's data where the age is 6 years, the Exudate or swelling on tonsils is no, the Temperature is 38.8 degrees celsius, the Tender/swollen anterior cervical lymph nodes is no, the Centor Score is 2.</t>
  </si>
  <si>
    <t>A 6-year-old girl presents to the clinic for a general checkup before her last scheduled DTaP vaccination. Her mother is concerned about mild swelling and redness at the site of injection after her daughter’s previous DTaP administration. The patient has mild spastic cerebral palsy. She was diagnosed with epilepsy at the age of 5, and it is well-controlled with levetiracetam. She is allergic to penicillin. Currently, she complains of malaise and mild breathlessness. The mother noted that her daughter has been sluggish for the last 3 days. Her vital signs are as follows: the blood pressure is 100/60 mm Hg, the heart rate is 90/min, the respiratory rate is 22/min, and the temperature is 38.8°C (101.8°F). On physical examination, the patient has slightly enlarged submandibular lymph nodes bilaterally and oropharyngeal erythema. On auscultation, there are diminished vesicular breath sounds with a few respiratory crackles over the lower lobe of the left lung.</t>
  </si>
  <si>
    <t>Based on the patient's data where the age is 44 years, the Systolic Blood Pressure is 80.0 mm hg, the Diastolic Blood Pressure is 40.0 mm hg, the Blood Urea Nitrogen (BUN) is 40.0 mg/dL, the respiratory rate is 35.0 breaths per minute, the Confusion is yes, the CURB-65 Score is 5.</t>
  </si>
  <si>
    <t>A delirious 44-year-old woman was brought to our emergency room complaining of shortness of breath and fever. The patient had no past medical history until last week. She has been feeling “under the weather” for a couple of days. She presented a fever, a cough with some phlegm and chills. She also complained of some sharp chest pain when she took a breath. She denied smoking. Physical examination revealed a patient with dyspnea in acute distress. Her temperature was 105 °F. Her blood pressure was 80/40 mm Hg (normally 120/80 mm Hg). Her heart rate was 140 beats per minute (normally 60–80 bpm) and regular. Her extremities felt cool to the touch and had mottled skin. She had decreased skin turgor. After initial evaluation, she was put on 100% oxygen via a face mask. Even breathing 100% oxygen, her blood oxygen saturation was only 92% (normally &gt;95% on room air and 100% on 100% inspired oxygen). Her respiratory rate was 35 breaths per minute (normally 15 breaths/min). Examination of the lungs revealed bilateral rales (crackly lung noises heard on inspiration that indicate fluid in the alveoli), which were more prominent at the bases. Her jugular veins were not distended and she had no hepatojugular reflux. The point of maximal impulse was in the fifth intercostal space along the left midclavicular line. She was tachycardic, with normal S1 and S2. There were no rubs, murmurs, or gallops. Peripheral pulses were weak on both sides. Her abdomen had some decreased bowel sounds but was otherwise normal. After she was put on 100% oxygen, the laboratory assayed a sample of arterial blood from the patient and obtained the following values (normal values in parentheses): pH 6.98 (7.38-7.42), PCO2 50 mmHg (37-43), PO2 80 (&gt;90 on room air), calculated HCO3 10 (22-32), creatinine 2.5 mg/dl (0.5-1.5), blood urea nitrogen 40 mg/dl (5-25), Na+ 145 mEq/L (133-147), K+ 3.7 mEq/L (3.2-5.2), Cl- 103 mEq/L (94-110), HCO3- 12 mEq/L (22-32), lactate 5 mEq/L (&lt;1.5). Her white blood cell count was elevated (normal 4 – 12 × 103 per microliter) and immature white cells were present. Her hemoglobin and hematocrit were normal, but her platelet count was low. Also, her urine output was low. Chest X-ray showed pulmonary edema that was more pronounced at the bases and at the hila. A lung CT scan showed extra density at the bases. An ECG showed sinus tachycardia but was otherwise within normal limits. The diagnosis was community-acquired pneumonia and septic shock. The patient was intubated and treated using lung protective ventilation. She was given vasopressors, antibiotics and normal saline.</t>
  </si>
  <si>
    <t>Based on the patient's data where the Heart Rate or Pulse is 139 beats per minute, the QT Interval is 468 msec, the Corrected QT Interval is 673.4 msec.</t>
  </si>
  <si>
    <t>A patient has a heart rate of 139 bpm and a QT interval of 468 msec.</t>
  </si>
  <si>
    <t>Based on the patient's data where the sex is Male, the age is 60 years, the weight is 58.5 kg, the height is 163.1 cm, the creatinine is 10.7 mg/dL, the Creatinine Clearance is 5.225 mL/min.</t>
  </si>
  <si>
    <t>A 60-year-old male with end-stage kidney disease due to ADPKD was admitted to our hospital for an evaluation of diplopia and left hemiplegia in March 2012. He had started maintenance hemodialysis in 2005. He had hypertension, which was relatively under good control with antihypertensive agents. He had no other arteriosclerotic risks such as diabetes, dyslipidemia, or smoking. He had no past medical history of coronary artery disease, myocardial infarction, or peripheral artery disease. The patient’s father and three brothers were also under hemodialysis due to ADPKD. None of the family members had a vascular system complication such as cerebral aneurysm, or past medical history of stroke. A brain CT scan image showed dilatation of left vertebral artery, basilar artery, bilateral post cerebral artery, and middle cerebral artery (Fig. a, b). At the time, he was diagnosed as vertebrobasilar dolichoectasia and started antihypertensive agents. In 2010, he was once admitted to our hospital for dysarthria, dysphagia and right hemiplegia. Brain magnetic resonance imaging (MRI) revealed acute infarction in the left midbrain, and he was started treatment with anticoagulant and additional antihypertensive agents. Although he recovered from dysarthria and dysphagia, right mild hemiplegia remained. However, he did not have any new stroke events until the admission in 2012. On admission in 2012, his height was 163.1 cm, weight was 58.5 kg, consciousness level was 13 on the Glasgow Coma Scale, blood pressure was 146/92 mmHg, and body temperature was 36.7 °C. His conjunctiva was anemic, abdomen showed hepatomegaly and bilateral kidney swelling, and lower extremities had bilateral pitting edema. Neurological examination revealed prompt light reflection, isocoric pupil, limitation of the adduction of the right eye when gazing to the left, dysarthria, and bilateral incomplete paralysis. Laboratory data were as follows: serum Cr 10.7 mg/dL, BUN 48 mg/dL, estimated glomerular filtration rate (eGFR) 4.4 mL/min/1.73 m2, hemoglobin (Hb) 10.7 g/dL, white blood cell count (WBC) 5700/μL, C-reactive protein (CRP) 0.4 mg/dL, aspartate aminotransferase (AST) 6 IU/L, alanine aminotransferase (ALT) 6 IU/L and alkaline phosphatase (ALP) 164 IU/L. Brain MRI showed acute ischemia of bilateral pons and right temporal lobe. Brain magnetic resonance angiography (MRA) did not show significant change in vertebrobasilar dolichoectasia compared with MRA in 2010. We started urokinase 60,000 unit/day and argatroban hydrate 60 mg/day. He was once recovered, and continued rehabilitation and maintenance hemodialysis. After 3 months of admission, he suddenly showed impaired consciousness of 6 on the Glasgow Coma Scale, convulsion, and Cheyne-Stokes respiration. CT scan image did not show any cerebral hemorrhage. Exacerbation of cerebral infarction was suspected, and we started argatroban hydrate 60 mg/day, aleviatin, and non-invasive positive pressure (NPPV). Fourteen days after convulsion, he died of sudden fall in blood pressure (Fig. ). An autopsy was performed, and the brain was pathologically examined. Macroscopically, massive hemorrhage in subarachnoid were seen due to rupture of basilar tip aneurysm (Fig. a, b). Autopsy diagnosis of his death was subarachnoid hemorrhage. Intravascular lumen of the basilar tip aneurysm was nearly obstructed by thrombi (Fig. c). Old cerebral infarctions were seen in the left temporal lobe and other areas. Basilar, left vertebral, bilateral carotid, bilateral middle, and bilateral post cerebral artery showed irregular dilatation of the vessel wall. A microscopic examination of the dilatation area had rupture of the internal elastic lamina and thinning of the media (Fig. d). A wide range of vertebrobasilar dolichoectasia was also confirmed pathologically. In other organs, systemic arteries also showed marked atherosclerosis, and bilateral iliac artery had an aneurysm-like dilatation.</t>
  </si>
  <si>
    <t>Based on the patient's data where the creatinine is 1.6 mg/dL, the Continuous veno-venous hemodialysis for ≥24 hours in the past week is no, the Dialysis at least twice in the past week is no, the international normalized ratio is 0.9, the Sodium is 141.0 mEq/L, the Bilirubin is 1.11 mg/dL, the MELD Na Score is 8.9885.</t>
  </si>
  <si>
    <t>A 17-year-old Caucasian female presented to local hospital with a history of acute alcohol intoxication and ingestion of large quantities of acetaminophen. The patient complained of nausea for 2 days and subjective increase in thirst and urine output for a day. She did not notice any dysuria, abdominal pain or change in the colour of her urine. She did however report a remarkable increase in lower back pain that she had attributed to strenuous exercise. Two days prior to her presentation to the emergency department, the young lady had attended a party where she consumed over 300 mL of vodka and ingested twenty 500 mg tablets of acetaminophen later that night. Past medical history revealed that she had experienced an episode of rash after having taken liquid acetaminophen as a child. She had not taken acetaminophen since infancy and also denied regular use of any other analgesic. Family history was non-contributory for relevant physiological and psychological illness. The patient reported feeling stressed due to a recent slip in school grades, however denied any suicidal ideation. Physical examination in the emergency department revealed blood pressure of 140/92 mmHg, pulse 80 bpm, temperature 36.9°C, respiratory rate of 16 breaths per minute and oxygen saturation of 100% at room air. Height and weight were recorded at 170 cm and 63 kg. Physical examination was otherwise unremarkable. No rash, joint swelling or sign of dehydration was detected. Initial renal function tests at the local hospital revealed serum creatinine and BUN levels of 1.6 mg/dL and 19.3 mg/dL, respectively. Other laboratory results included: glucose 112 mg/dL, sodium 141 mEq/L, potassium 4.3 mEq/L, chloride 104 mEq/L, bicarbonate 29 mEq/L, albumin 43 g/L, aspartate transaminase 20 IU/L, alkaline phosphate 66 IU/L and total bilirubin 1.11 mg/dL. Her INR was reported to be normal at 0.9. Toxicity screens on admission showed acetaminophen level at 9.06 μg/mL. Urine dipstick showed trace amount of blood and 2 plus protein. Microscopy revealed 25 red blood cells per high power field and was otherwise non-contributory. Abdominal ultrasound revealed increased hepatic echogenicity and the kidneys were normal in appearance. At the outside hospital, she was given morphine, ondansetron and lansoprazole for her back pain and gastrointestinal symptoms. Acetylcysteine was not administered as the patient presented more than 24 hours after the ingestion of acetaminophen. Renal function tests were repeated later that evening and monitored frequently thereafter. Over the course of 36 hours, the patient's serum creatinine and BUN levels elevated from 1.6 mg/dL and 19.3 mg/dL to 5.7 mg/dL and 49.6 mg/dL, respectively. Urine output was reported to be 2.7 mL/kg/hour. At this time, the patient was transferred to our Children's Hospital for rapidly progressive renal insufficiency. Physical examination upon admission showed normal vital signs: blood pressure 115/74 mmHg, pulse 60 bpm, temperature 36.6°C, respiratory rate 16 breaths per minute and 100% oxygen saturation at room air. Serum creatinine and BUN levels were measured at 6.3 mg/dL and 52.4 mg/dL, respectively. Furthermore, her electrolytes were recorded as follows: random glucose 86 mg/dL, sodium 134 mEq/L, potassium 5.7 mEq/L, chloride 104 mEq/L and bicarbonate 22 mEq/L. Coagulation study revealed an INR of 1.0 and an APTT of 28 seconds. Other investigations including blood counts and liver functions tests were within normal range. The patient's daily urine output was 3.3 mL/kg/hour at this time. Urinalysis revealed small amounts of protein and blood in her urine. Staining for eosinophils on the random urine sample was positive. Renal biopsy was performed to further delineate the underlying cause of rapidly progressive renal insufficiency. Figure depicts the histological findings. The biopsy showed no evidence of glomerulonephritis. The interstitium was mildly edematous with small aggregates of inflammatory cells, mainly lymphocytes and eosinophils. Immunofluorescence and electron microscopy were both negative for immune deposits. The histological findings were compatible with acute interstitial nephritis. The patient was managed supportively by careful monitoring of fluid intake and output. Corticosteroids therapy was considered if no improvement of her renal function was observed. However, her serum creatinine and BUN levels peaked at 7.0 mg/dL and 60 mg/dL two days after admission then began to improve without further medical intervention. Her serum creatinine and BUN levels upon discharge were 4.7 mg/dL and 48 mg/dL respectively. Outpatient follow-up at two weeks after discharge showed that she had completely recovered; her creatinine was 1 mg/dL and BUN was 18 mg/dL.</t>
  </si>
  <si>
    <t>Based on the patient's data where the Glucose is 165.0 mg/dL, the Insulin is 4.8 µIU/mL, the HOMA-IR Score is 1.9556.</t>
  </si>
  <si>
    <t>A 31-year-old Asian American female with past medical history of chewing of betel leaf with betel nuts and non-smoker, who immigrated to the USA from Burma four years previously, was referred to the Digestive Health Center at the University of Virginia for evaluation of elevated transaminases discovered upon routine testing. She reported no previous history of liver test abnormality or liver disease. She was not using any hepatotoxic prescription or over the counter medications or supplements and reported rare consumption of alcohol. Besides, she had no family history of liver disease, hepatocellular carcinoma, autoimmune disorders or diabetes mellitus. The physical examination was significant for obesity with weight 66 kg, height 146 cm, body mass index (BMI) 31, hepatomegaly, nonpalpable spleen, and lack of stigmata of chronic liver disease. Extensive laboratory workup revealed normal complete blood count, renal function, serum electrolytes, iron studies, serum immunoglobulin levels, and ceruloplasmin. Also, hepatitis B and C serologic tests and autoimmune markers were negative. Fasting lipid profile revealed dyslipidemia (total cholesterol 260 mg/dL, triglycerides 267 mg/dL, high density lipoprotein 45 mg/dL, and low density lipoprotein 170 mg/dL). Fasting blood glucose was 165 mg/dL with simultaneous fasting insulin level of 4.8 mill international units/liter, thus has insulin resistance. Hemoglobin (Hgb) A1c level at this time was 6.8% which was higher than previous values from eight months prior (6.1%), 16 months prior (6.1%) and 39 months prior (4.8%). Ultrasonographic evaluation of the abdomen revealed hepatomegaly, hyperechogenic liver indicative of severe hepatic steatosis, an ill-defined liver mass, and standard spleen size. Magnetic resonance examination defined the liver mass as hemangioma in addition to hepatomegaly and severe hepatic steatosis. Ultrasound-guided liver biopsy (sample size of 3.5 cm) showed severe macrosteatosis with mild lobular and periportal inflammation associated with focal hepatocyte damage (Figure , Panel A). Trichrome staining revealed focal portal, periportal and perisinusoidal fibrosis consistent with stage II (Figure , Panel B) with a NASH activity score (NAS) of 7. The patient was instructed to exercise routinely and follow a healthy diet. She was seen in follow-up for three months at which time her weight was unchanged. Physical examination revealed dark brownish red pigment on the teeth, tongue, and oral mucosa. Upon questioning the patient about this finding, she admitted to chewing betel on an average of 10 times per day for the last eight years. The patient reported an associated weight gain of around 16 kg from her baseline weight maintained for many years at 50 kg (BMI 23.5). This significant weight gain could not be reversed despite daily physically demanding work and following a healthy diet recommended by her primary care physician.</t>
  </si>
  <si>
    <t>Based on the patient's data where the Heart Rate or Pulse is 71 beats per minute, the QT Interval is 430 msec, the Corrected QT Interval is 583.1094 msec.</t>
  </si>
  <si>
    <t>A patient has a heart rate of 61 bpm and a QT interval of 492 msec.</t>
  </si>
  <si>
    <t>Based on the patient's data where the sex is Male, the height is 171.0 cm, the IBW is 80.209 kg.</t>
  </si>
  <si>
    <t>A 73-year-old male patient had lower back and both buttock pain that was occurred after fall from standing position 2 weeks before, the symptoms progressed and became intolerable in spite of analgesia. In the past medical history, no special diseases such as diabetes, hypertension and cerebrovascular diseases were present and he was a non-smoker and a non-drinker. He had 171 cm of height, 70 kg of body weight, 23.9 kg/m2 of body mass index. Laboratory test showed the result of white blood cell (WBC) count of 4,440/mm3, erythrocyte sedimentation rate (ESR) 33 mm/hr, C-reactive protein (CRP) 0.04 mg/dL, uric acid 2.1 mg/dL, RA factor 12.29 U/mL, and HLA-B27 positive. BMD was measured utilizing peripheral-quantitative computed tomography (P-QCT; Somatom sensation 16, Simens, Erlangen, Germany). In result, severe osteoporosis was considered with BMD and T-score of lumbar vertebrae (L1-4) were 11.2 mg/cm3 and -6.17 (). At the time of visiting, simple spine radiography showed syndesmophytes of the spine, suggesting a bamboo spine coexist with ankylosis, but spine fracture was not clearly depicted in lumbar spine (). Three dimensional (3-D) CT and magnetic resonance imaging (MRI) of the lumbar spine reveled ankylosed of ligaments, intervertebral discs, endplate, and of apophyseal structures and 2 column compression fracture on L3 through the vertebral body (). Kyphoplasty polymethylmetacrylate (PMMA) vertebral augmentation procedure was performed because of progressive vertebral collapsing during the follow-up. Patients were placed in the prone position under bi-plane fluoroscopic guidance and local anesthesia with bilateral transpedicular approach using simultaneous anteroposterior and lateral fluoroscopy. The balloon tamp was situated under collapsed end plate and slowly inflated until it abutted the cortical margins. PMMA was then injected into void of the vertebral body, 3 mL of PMMA was used (). Post-operative thoracolumbosacral orthosis (TLSO) applying, patients encourage to resume all his normal daily activities without any restrictions. The visual analogue scale (VAS) was 10 for the first time. The last VAS was 3 after post-operative 9 months, there were no complication. Last follow-up after post-operative 12 months, the patient is active and satisfied with the treatment including osteoporosis medication. This report was informed to a patient.</t>
  </si>
  <si>
    <t>Based on the patient's data where the age is 23 years, the weight is 142.0 lbs, the sex is Male, the Sodium is 137.0 mmol/L, the Free Body Water Deficit is -0.7115 L.</t>
  </si>
  <si>
    <t>We report a 23-year-old African American male with a medical history of pediatric DDRT secondary to left-sided dysplastic kidney and right-sided obstructive uropathy. He presented to the emergency department with a one-week history of decreasing urine output, increased shortness of breath, generalized weakness, and nausea. He initially received his DDKT in 2010, which has been complicated by multiple episodes of both acute T cell-mediated and acute antibody-mediated rejection. The patient admitted to a two-month history of immunosuppressive medication nonadherence with tacrolimus, mycophenolate, and prednisone. Physical examination revealed a young male, in no distress, weighing 142 pounds. He had a blood pressure of 153/102 mmHg and a heart rate of 77 beats/min. Exam findings are as follows: pale conjunctiva, lungs clear to auscultation, regular heart rate and rhythm, active bowel sounds, no abdominal tenderness, and no focal neurological deficit. Admission labs included a serum creatinine of 64.6 mg/dL (0.67–1.17 mg/dL) with a blood urea nitrogen (BUN) of 212 mg/dL (6–20 mg/dL), which increased to a serum creatinine of 73.8 mg/dL and BUN of 244 mg/dL prior to initiation of emergent dialysis. Serum chemistry included sodium 137 mmol/L (136–145 mmol/L), potassium 6.0 mmol/L (3.5–5.1 mmol/L), chloride 98 mmol/L (98–107 mmol/L), total carbon dioxide 7 mmol/L (22–29 mmol/L), glucose 68 mg/dL (74–106 mg/dL), and phosphorus 14.7 mg/dL (2.7–4.5 mg/dL). The patient was initiated on emergent dialysis via a temporary dialysis catheter. Dialysis was complicated by new onset of seizures, initially thought to be secondary to dialysis disequilibrium syndrome. An electroencephalogram (EEG) was performed showing right temporal spikes epileptiform discharges with intermittent slow waves lateralized to the right hemisphere. Patient was thought to have epilepsy with initial seizure exacerbation secondary to severe metabolic derangements in setting of acute renal failure and severe azotemia. He was initiated on daily levetiracetam with resolution of seizures. Patient received continuous renal replacement therapy (CRRT) while in the intensive care unit. After stabilization of his acute medical issues, a tunneled dialysis catheter was placed in his right internal jugular vein prior to discharge. Ultimately, the patient was diagnosed with renal allograft failure secondary to medication nonadherence and was discharged home on intermittent hemodialysis with improvement in serum creatinine to 23.8 mg/dL and BUN of 76 mg/dL at time of discharge, after completion of four hemodialysis sessions.</t>
  </si>
  <si>
    <t>Based on the patient's data where the Chloride is 105.0 mEq/L, the Albumin is 20.0 g/L, the Bicarbonate is 27.0 mEq/L, the Sodium is 130.0 mEq/L, the Albumin Corrected Anion Gap is 3.0 mEq/L.</t>
  </si>
  <si>
    <t>A 32-year-old female presented to the emergency room with a chief complaint of marked edema of 5 days' duration. Past medical history included: Bipolar disorder, panic disorder, hypothyroidism, and hidradenitis suppurativa. Her daily home medications included lithium carbonate 900 mg, synthroid 75 μg, cymbalata 60 mg, nortryptiline 30 mg, cipralex 30 mg, gabapentin 600-900 mg, and ibuprofen 200 mg. The patient had been on a stable dose of lithium for approximately 5 years experiencing no side effects. She presented to the hospital with a 5-day history of severe fatigue, migraine-like headaches, lethargy, and significant anasarca. Associated with these symptoms were upper extremity tremors as well as polyuria and polydipsia. She denied chest pain, shortness of breath, constitutional symptoms, and any urinary symptoms. Social history included 10-pack year history of tobacco. On admission, the patient's vital signs were: Blood pressure 115/61, heart rate 61 beats/min, respiratory rate 20 breaths/min, and oxygen saturation 96% on room air. The patient was afebrile. There was generalized + 2 edema of lower extremities, upper extremities, and periorbital regions. Minimal bibasilar crackles were appreciated. The remainder of the cardiovascular and abdominal examination was unremarkable. Blood work showed a plasma creatinine level of 119 μmol/L (baseline 69 μmol/L) and a blood urea of 10.4 mmol/L. Urine dipstick showed a specific gravity of 1.016, pH 7.5, and 4 + protein; and was negative for glucose, ketones, and nitrites. Microscopy revealed oval fat bodies and free fat droplets. The urine albumin to creatinine ratio was 973.4 mg/mmol and 24-h urine protein was 15.69 g. On admission, serum lithium level was 2.66 mmol/L (therapeutic 0.50-1.50 mmol/L). Serum sodium was 130 mmol/L, potassium 4.5 mmol/L, chloride 105 mmol/L, and bicarbonate 27 mmol/L. A complete blood count demonstrated hemoglobin 106 g/L, white blood cell count 9.46 × 109 /L, and platelet count 234 × 109 /L. Serum albumin was low at 20 g/L; but all liver enzymes, total bilirubin, and coagulation studies were within normal limits. Thyroid-stimulating hormone was 18.90 mU/L and free T4 8.2 pmol/L. Serology for hepatitis B and C, anti-double stranded deoxyribonucleic acid, antineutrophilic cytoplasmic antibodies, ribonucleoprotein, Sjogren's syndrome, scleroderma, inflammatory myositis, and Smith antibody were all negative. Antinuclear antibody was slightly positive on admission. Chest radiographs revealed nonspecific bibasilar infiltrates. Abdominal ultrasound demonstrated normal kidneys with no renal calculi or hydronephrosis. Lithium treatment was discontinued immediately and the patient was treated conservatively with fluids. Initially the patient refused renal biopsy. Once stabilized, she was discharged from the hospital and lithium remained discontinued. At 2 months follow-up, the patient experienced worsening anasarca, significant acute kidney injury (AKI; serum creatinine 209 μmol/L), and persistent proteinuria. She was readmitted to the hospital and subsequently underwent a renal biopsy, when at the time her creatinine peaked at 348 μmol/l. On light microscopy, there was no global sclerosis, crescent formation, or necrotic lesions capillary wall thickness was normal. There was evidence of moderate focal interstitial fibrosis []. Immunofluorescence did not demonstrate any immune deposits. Electron microscopy revealed widespread fusion of podocyte foot processes affecting more than 75% of the surface of glomerular capillary loops []. No electron dense deposits were evident. A diagnosis of MCD secondary to lithium use was established and the patient was started on high dose corticosteroids, initially intravenously, but changed to oral prednisone 80 mg daily on discharge. Over the next 2 months of follow-up, the patient's creatinine, proteinuria, and edema all decreased significantly and she was tapered to oral prednisone 40 mg. At her 4 months follow-up, her albumin/creatinine ratio had decreased to 220 mg/mmol and she remained on oral prednisone 40 mg daily. Her edema as well as AKI had resolved. The progression of renal and glomerular failure is illustrated in .</t>
  </si>
  <si>
    <t>Based on the patient's data where the Altered mental status is no, the Blood Urea Nitrogen (BUN) is 19 mg/dL, the Cerebrovascular disease history is no, the Congestive Heart Failure is no, the Glucose is 195 mg/dL, the Heart Rate or Pulse is 92 beats per minute, the Hematocrit is 40 %, the Liver disease history is no, the Neoplastic disease is no, the Nursing home resident is yes, the Partial pressure of oxygen is 82 mm Hg, the Pleural effusion on x-ray is yes, the Renal disease is no, the Sodium is 139 mEq/L, the Systolic Blood Pressure is 118 mm Hg, the Temperature is 37.4 degrees celsius, the age is 65 years, the pH is 7.37, the respiratory rate is 18 breaths per minute, the sex is Male, the PSI Score is 85.</t>
  </si>
  <si>
    <t>A 65-year-old male presented to the emergency department with a 4-day history of progressive shortness of breath, fever, and a worsening productive cough with greenish sputum. He resides in a nursing home and was brought in by the facility staff after they noticed his increased respiratory distress and lack of improvement with over-the-counter medications. He has no significant past medical history of renal disease, congestive heart failure, or neoplastic disease. Upon examination, the patient appeared to be in moderate respiratory distress. Vital signs at presentation showed a temperature of 37.4 degrees Celsius, heart rate of 92 beats per minute, respiratory rate of 18 breaths per minute, and a systolic blood pressure of 118 mm Hg. Oxygen saturation on room air was noted to be suboptimal, with a partial pressure of oxygen at 82 mm Hg. Physical examination revealed decreased breath sounds and dullness to percussion over the right lower lung field. Auscultation noted crackles in the same area. The rest of the cardiovascular and abdominal examinations were within normal limits. There was no peripheral edema. Initial laboratory workup demonstrated a blood urea nitrogen (BUN) level of 19 mg/dL, with a serum sodium level of 139 mEq/L. His glucose level was significantly elevated at 195 mg/dL. Hematologic studies revealed a hematocrit of 40%. Arterial blood gas analysis showed a pH of 7.37, indicating no significant acid-base disturbance at the time of presentation. Chest radiography confirmed the diagnosis, showing a right-sided pleural effusion with underlying consolidation, consistent with pneumonia. The patient was alert and oriented, displaying no signs of altered mental status. Given the patient's clinical presentation and radiographic findings, he was promptly diagnosed with community-acquired pneumonia. His absence of significant comorbidities such as cerebrovascular disease or chronic liver disease was noted. Based on his history, clinical findings, and initial investigational results, appropriate empiric antibiotic therapy and supportive care were initiated. Further monitoring was planned to evaluate his response to treatment and to adjust the management plan as necessary.</t>
  </si>
  <si>
    <t>Based on the patient's data where the Current Date is 11/16/2007, the Last menstrual date is 02/02/2008, the Estimated Gestational Age is ('4 weeks', '1 days').</t>
  </si>
  <si>
    <t>The patient's last menstrual period was on 10/16/2007. Today's date is 01/24/2008.</t>
  </si>
  <si>
    <t>Based on the patient's data where the Heart Rate or Pulse is 118 beats per minute, the QT Interval is 452 msec, the Corrected QT Interval is 457.6518 msec.</t>
  </si>
  <si>
    <t>A patient has a heart rate of 118 bpm and a QT interval of 452 msec.</t>
  </si>
  <si>
    <t>Based on the patient's data where the international normalized ratio is 1.44, the Ascites is moderate, the Albumin is 2.0 g/dL, the Bilirubin is 3.2 mg/dL, the Encephalopathy is No Encephalopathy, the Child-Pugh Score is 9.</t>
  </si>
  <si>
    <t>A 55-year-old man was on the waiting list for orthotopic liver transplant because of a decompensated HBV-related liver cirrhosis (MELD 16) complicated by intractable ascites for which a transjugular intrahepatic portosystemic shunt (TIPS) had been placed 5 months earlier. He was also affected by asymptomatic gallbladder stones and admitted to our unit because of sudden recurrence of abdominal distension. The patient reported a few days before severe epigastric pain that lasted for about 20 min and was spontaneously resolved; he, however, denied hematemesis or melena. At admission, physical examination revealed normal vital signs. Laboratory workup revealed a haemoglobin level of 6.4 g/dl (compared to that of 10.3 g/dl recorded 3 weeks earlier), leucocyte count of 4930/mm3, platelet count of 49/mm3, international normalised ratio of 1.44, bilirubin 3.2 mg/dl, alanine aminotransferase 25 UI/l, aspartate aminotransferase 47 UI/l, alkaline phosphatase 105 UI/l, gamma glutamyl transferase 27 UI/l, albumin 2.0 g/dl, creatinine 0.91 mg/dl and C reactive protein 48 mg/l. The patient was made to undergo urgent blood transfusion. An urgent gastroscopy revealed no varices, gastric ulcer or any other source of bleeding. An ultrasound sonography confirmed the presence of ascites and normal flow within the portal vein and the TIPS. The patient underwent diagnostic paracentesis with leakage of high-pressure blood-like fluid: the cell count analysis confirmed hemoperitoneum (haemoglobin 2.8 g/dl) and showed normal leucocyte count and no malignant cells. The analysis of the ascitic fluid also documented a transudate (total proteins &lt; 2 g/dl, LDH 162 UI/l) with high serum-ascites albumin gradient (1.4 g/dl), bilirubin concentration of 2.9 mg/dl and ascitic culture as negative. A contrast-enhanced abdomen CT-scan showed a scleroatrophic gallbladder bearing only one stone inside and irregularity along the wall, but no frank interruption while numerous radiopaque elements were evident in the pelvis alongside dense ascites (Hounsfield Units 19; uncomplicated ascites normal value 0–15) [], configuring a picture like “starry sky” (Fig. ). No ectopic gallbladder varices have been recorded. Both abdominal CT and ultrasound performed a month before described contracted gallbladder, whose lumen was completely occupied by stones. A perforation of the gallbladder with occult bleeding was therefore diagnosed. Based on absence of fever, signs of peritoneal involvement, stability of haemoglobin levels and expected waitlist time, a conservative therapeutic strategy (antibiotic therapy and control of the coagulation parameters, haemoglobin and renal function) was chosen to avoid high-risk cholecystectomy before liver transplantation. In the following days, clinical and laboratory parameters remained stable and, particularly, no fever or exacerbation of hepatic encephalopathy were observed. The patient was discharged in 15 days, asymptomatic, with a stable level of haemoglobin. Two months later, the patient underwent a successful liver transplantation. During the transplantation, the surgeon visualised the stones that had migrated into the pelvis and decided not to remove them because of an unfavourable risk-benefit ratio. The pathological report documented a scleroatrophic gallbladder with chronic inflammation but did not identify any perforation.</t>
  </si>
  <si>
    <t>Based on the patient's data where the Diastolic Blood Pressure is 75.0 mm hg, the Systolic Blood Pressure is 120.0 mm hg, the Mean Arterial Pressure is 72.5478 mm Hg.</t>
  </si>
  <si>
    <t>A 21-year-old man presented to our emergency room with a complaint of right lower abdominal pain for 2 days. On physical examination, the vital signs were as follows: temperature, 37.3°C; heart rate, 94/min; respiratory rate, 20/min; blood pressure, 120/75 mm Hg. The abdominal examination was significant for tenderness and pain in the right lower quadrant upon palpation. There was no rebound tenderness or muscle rigidity. The remainder of the physical examination was normal. Laboratory testing revealed the following: white blood cell count, 9.54 × 109/L; neutrophilic granulocytes, 81.1%; hemoglobin, 136 g/L; platelet count, 232 × 109/L. Kidney function and other biochemical measures were normal. Computed tomography (CT, Figure A and B) showed pneumatosis in the appendix and fluid in the pelvic cavity. Based on the above findings, a diagnosis of acute appendicitis was made and a laparoscopic appendectomy was undertaken; however, the appendix was normal in appearance and an appendectomy was not performed. Intraoperatively, the terminal ileum was noted to be approximately 15 cm in diameter, hyperemic, and edematous (Figure ); there was no apparent inflammation of the appendix. Thus, terminal ileitis was diagnosed. Three days postoperatively, the patient had rose-colored petechiae and palpable purpura on the lower extremities, and HSP was diagnosed. Subsequently, methylprednisolone (2 mg/kg/d iv) was administered for 5 days. Seven days postoperatively, the abdominal pain and purpura resolved. There were no recurrences in the subsequent 8 months, and long-term follow-up in the clinic was recommended.</t>
  </si>
  <si>
    <t>Based on the patient's data where the Pre-operative creatinine is 0.7 mg/dL, the Elevated-risk surgery is yes, the age is 51 years, the Cardiac Risk Index Score is 1.</t>
  </si>
  <si>
    <t>A 51-year-old female visited us due to asymptomatic macroscopic hematuria persisting for two weeks. She had experienced discomfort, not pain, in the stomach. She had been followed up at another clinic for polycythemia for several years. Cystoscopy revealed a nonpapillary tumor about 2 cm in diameter, emanating from the left ureteral orifice (). Blood results at presentation showed Hb 14.8 g/dL, Cr 0.7 mg/dL, estimated GFR 68.1 mL/min, WBC 6.6 × 103/μL, CRP 5.35 mg/dL, LDH 184 IU/L, and Ca2+ 9.9 mg/dL. Urine cytology was negative for malignant cells. Contrast enhanced CT showed an unevenly contrasted tumor, infiltrating almost all renal parenchyma, filling the renal pelvis and ureter, and extending into the urinary bladder (). There were no apparent metastases to lung, liver, adrenal glands, or lymph nodes. With a tentative diagnosis of renal pelvic tumor, we didnot perform perioperative biopsy, and she underwent nephroureterectomy with hilar lymph node dissection. Macroscopically the tumor almost replaced the whole kidney. The renal pelvis and ureter were extensively packed with the tumor. Histological examination () revealed a clear cell RCC, grade 2 &gt; 1, with microvascular invasion, Fuhrman grade 2, without any sarcomatoid elements. There was no evidence of a venous thrombus or metastasis to lymph nodes. Leibovich score was 6. Postoperative course was uneventful, but 6 months later multiple pulmonary metastases were detected.</t>
  </si>
  <si>
    <t>Based on the patient's data where the input steroid is Cortisone PO 260.997, the target steroid is Betamethasone IV, the Equivalent Steroid Dosage is 7.8299 mg.</t>
  </si>
  <si>
    <t>Patient has taken 260.997 mg of Cortisone PO.</t>
  </si>
  <si>
    <t>Based on the patient's data where the creatinine is 0.25 mg/dL, the Urine sodium is 16.0 mmol/L, the Urine creatinine is 6.8 mg/dL, the Sodium is 123.0 mmol/L, the FEna Percentage is 0.4165 %.</t>
  </si>
  <si>
    <t>A 50-year-old male visited our emergency room(ER) because of generalized edema. He appeared remarkably swollen during the past week, with associated reduced urine output. There was no history of body weight change as the patient was bed-ridden. Specifically, he previously had no edematous disorders including congestive heart failure, nephrotic syndrome, liver cirrhosis, and hypothyroidism. Fourteen years earlier, he was diagnosed with ALS when he was admitted due to quadriparesis. Motor neuron disease was confirmed by electromyography and muscle biopsy. Involvement of the autonomic nervous system in the disease process was noted, and tracheostomy and feeding gastrostomy were in place. In addition, the patient was being supported by a home ventilator. On physical examination, vital signs were stable: blood pressure 144/89 mmHg, pulse rate 90/min, respiratory rate 22/min, and body temperature 35.0℃. Peripheral edema was remarkable at the neck, hands, and feet. Initial laboratory findings were as follows: hemoglobin 10.8 g/dL, white blood cells 17,300/mm3, platelet 199,000/mm3, blood urea nitrogen 20.8 mg/dL, and serum creatinine 0.25 mg/dL. Urinalysis showed a specific gravity of 1.015, albumin 1+, 5–9 RBCs per HPF, and many white blood cells. Serum sodium was 123 mmol/L, potassium 3.7 mmol/L, chloride 87 mmol/L, and total CO2 20.7 mmol/L. Urine sodium was 16 mmol/L, potassium 29 mmol/L, chloride 17 mmol/L, creatinine 6.8 mg/dL, and urea nitrogen 425 mg/dL. Serum and urine osmolality were 268 and 405 mOsm/kg H2O, respectively. Chest X-ray showed partial atelectasis of both lower lung lobes (). In the ER, isotonic saline was infused to treat hyponatremia at a rate of 40 mL/h. Follow-up tests done at admission showed serum sodium 127 mmol/L, urine osmolality 223 mOsm/kg H2O, urine sodium 12 mmol/L, urine potassium 8 mmol/L, urine chloride 7 mmol/L, and urine creatinine 2.5 mg/dL. Serum uric acid was 7.3 mg/dL, albumin was 2.8 g/dL, brain natriuretic peptide (BNP) was 93 pg/mL, and C-reactive protein was 33.7 mg/dL. Gram-negative bacilli and Gram-positive cocci were present in the urine, but they were not identified due to low abundance. Thyroid hormones T3 and free T4 were normal, serum adrenocorticotropic hormone (ACTH) was 63 pg/mL, and the peak level of serum cortisol in response to rapid ACTH stimulation was 48.6 µg/dL. shows the changes in serum sodium concentration and urine volume during the admission. Soon after admission, serum sodium dropped to 121 mmol/L despite isotonic saline infusion. Notably, true oliguria (200 mL/d) was encountered in association with increasing edema. We had to use intravenous furosemide, and a small volume (500 mL) of 3% saline was given once. The patient's oliguria persisted for 3 days, at which time generalized aggravation of the patient's edema was noted, and hyponatremia was not improved by diuretic therapy (). Intravenous furosemide was gradually increased (10 to 60mg) and was finally administered by continuous infusion (240 mg/d). Furosemide was switched into tolvaptan to treat hypervolemic hyponatremia. The initial dose of tolvaptan 15 mg induced an increase in urine output (1,500 mL/d), while serum sodium remained the same (121 mmol/L). On the following day, polyuria was induced by tolvaptan 30 mg in association with an improvement in hyponatremia (). Urine sodium increased from 12 to 56 mmol/L, and urine osmolality decreased from 223 to 147 mOsm/kg H2O. When the serum sodium approached 130 mmol/L, the daily dose of tolvaptan was reduced to 15 mg. Over the next 2 weeks, the patient's edematous state, urine volume, and hyponatremia were stabilized with continued tolvaptan therapy. Following discharge, having been off tolvaptan for approximately one month, the patient's serum sodium concentration was 132 mmol/L.</t>
  </si>
  <si>
    <t>Based on the patient's data where the Heart Rate or Pulse is 84 beats per minute, the QT Interval is 496 msec, the Corrected QT Interval is 632.3956 msec.</t>
  </si>
  <si>
    <t>A patient has a heart rate of 84 bpm and a QT interval of 496 msec.</t>
  </si>
  <si>
    <t>Based on the patient's data where the Alternative diagnosis to Deep Vein Thrombosis as likely or more likely is yes, the Bedridden recently &gt;3 days is no, the Major surgery within 12 weeks is yes, the Well's DVT Score is -2.</t>
  </si>
  <si>
    <t>A 39-year-old male with a five-year history of moderate ulcerative colitis (UC), as per Montreal classification, was admitted to the emergency department with worsening abdominal and rectal pain secondary to a C. diff infection of one week. Patient had a multi-week history of diarrhea that was waking him up at night leading up to the C. diff diagnosis. One week prior to ED admission, his GI had ordered precautionary leukocytes and C. diff due to history of UC, and both returned positive. Per GI note, "Vancomycin prescribed as this patient has IBD and patients with IBD can develop spontaneous C. diff infections and need to be treated regardless of toxin presence." He had no prior history of antibiotic use over the past three months or triggering factor for C. diff infection. Over the course of the week, his symptoms progressed, and he claimed to have nausea, vomiting, and hematochezia. The patient presented with a past medical history of depression, post-traumatic stress disorder, and obstructive sleep apnea. His allergies included trazodone and amoxicillin/clavulanate. His family history was unrevealing. His surgical history included cholecystectomy and thyroglossal duct cyst removal in 2019. This patient was a nonsmoker. He denied alcohol or drug use. He tried to maintain a healthy diet of lean proteins, fruits, and vegetables. Initial vitals on presentation included: temperature: 98.6 F, pulse: 90 beats per minute, respiratory rate: 15 breaths per minute, pulse oximetry: 95%, blood pressure: 119/87 mmHg, weight: 217.16 lbs, and body mass index: 32.14. General surgery was consulted upon CT scan with IV contrast revealing new extraluminal gas in the perineum surrounding the anus and distal rectum (Figures , , , ). He was examined and subsequently diagnosed with rectal perforation. Preoperatively, the patient’s physical exam revealed an uncomfortable looking young man in mild distress due to abdominal pain. An abdominal exam revealed no distention, masses, rebound, or guarding. The absence of McBurney’s sign, Murphy’s sign, and peritoneal inflammation was noted. There was no active rectal bleeding at the time of physical examination. Laboratory data revealed an elevated c-reactive protein of 66.4. Complete blood count and complete metabolic panel were otherwise within normal limits. Despite infection and imaging reflecting perforation, white blood count was found to be 5.9 k/cmm. After review of the available data, assessment of clinical condition, and deliberation with the emergency department physicians and the patient’s primary gastroenterology physician, the surgery team decided the patient would require an urgent exploratory laparotomy with total abdominal colectomy and end ileostomy due to the diagnosis of rectal perforation secondary to C. diff colitis on chronic UC. The patient was immediately brought to the operating room. The primary incision was made from the subxiphoid to the pubic symphysis within two hours of initial presentation to the hospital. The colon was visualized and resected; thus, a total colectomy was undergone. The pre-rectal space was opened to identify signs of purulence or injury, which found crepitus and severe UC causing circumferential ulcerations and a deep ulcer in the midline anteriorly. These ulcers traversed all layers of the rectal wall. A drain was placed to drain potential abscess or infection from the pre-rectal space. The patient left the OR in stable condition after enduring no complications intraoperatively. He remained in the inpatient surgical unit for five days, during which he continued to advance his diet and ambulate successfully. He was discharged after an education session on ostomy bag maintenance and told to follow up with the general surgery team and gastroenterology team in one week. At his one-week follow-up post-op visit, the patient was doing well, ostomy output was draining appropriately, and he denied fever, nausea, or vomiting. No secondary follow-up surgery was required.</t>
  </si>
  <si>
    <t>Based on the patient's data where the Heart Rate or Pulse is 143 beats per minute, the QT Interval is 288 msec, the Corrected QT Interval is 374.4547 msec.</t>
  </si>
  <si>
    <t>A patient has a heart rate of 143 bpm and a QT interval of 288 msec.</t>
  </si>
  <si>
    <t>Based on the patient's data where the Sodium is 135.0 mmol/L, the Chloride is 105.0 mmol/L, the Bicarbonate is 6.0 mmol/L, the Delta Gap is 10.1816 mEq/L.</t>
  </si>
  <si>
    <t>A 41-year-old female, with a past medical history of DM1 treated with insulin glargine and insulin aspart, presented with a 1-day history of diffuse abdominal pain and weakness. Her symptoms were associated with chills, nausea, and just one episode of emesis. Over the preceding 4 days, the patient had developed a Bartholin's gland cyst infection with abscess formation. She admitted to abstaining from any solid food intake in the previous 2 days; however, she maintained her liquid intake and continued taking her insulin glargine without insulin aspart. She denied any alcohol intake or drug abuse. Her vital signs were within normal limits. Physical examination was significant for diffuse abdominal tenderness without rigidity or guarding and a ruptured Bartholin's gland abscess with drainage to the skin. Blood work showed a white blood cell (WBC) count of 13,000 cells/mcL (normal range: 4,500-10,000/mcL), hemoglobin level 11.2 mg/dL (normal range: 12.3-15.3 g/dL), platelet count 448,000/mcL (normal range: 150,000-450,000/mcL), sodium 135 mmol/L (normal range: 136-145 mmol/L), potassium 3.6 mmol/L (normal range: 3.5-5.1 mmol/L), chloride 105 mmol/L (normal range: 98-107 mmol/L), bicarbonate 6 mmol/L (normal range: 21-32 mmol/L),  urea nitrogen 4 mg/dL (normal range: 7-18 mg/dL), creatinine 0.58 mg/dL (normal range: 0.6-1.3 mg/dL), glucose 191 mg/dL (normal range: 70-100 mg/dL), beta hydroxybutyrate &gt;4.5 mg/dL (normal range: &lt;0.4 mg/dL), magnesium 1.3 mg/dL (normal range: 1.6-2.3 mg/dL), phosphorus 1.3 mg/dL (normal range: 2.5-4.9 mg/dL), lactate 0.8 mmol/L (normal range: 0.4-2 mmol/L), and HBA1C 12.5% (normal range: 4-5.6%). Urinalysis was significant for +3 ketones and sugar. Arterial blood gas showed pH 7.07, pCO2 12. A urine drug screen was negative, and serum ethanol level was undetectable. The patient was diagnosed with euglycemic DKA precipitated by an underlying infection. Intravenous fluid (IVF) resuscitation with normal saline was initially started at a rate of 1.0 L/h for a total of 2 L. The patient's hydration status, serum electrolytes, blood urea nitrogen (BUN), creatinine, glucose, and urine output were monitored closely. After 2 h, repeat blood work showed a serum sodium 141 mmol/L, carbon dioxide 8 mmol/L, potassium 3.5 mmol/L, and glucose 153 mg/dL. Subsequently, IVFs were switched to 5% dextrose and 0.45% NaCl at a rate of 250 cc/h, and an insulin drip at a rate of 5 units/h was started. Then, 30 mEq potassium was added to each liter of the IVF, excluding the first liter, targeting a serum potassium level of 4-5 mEq/L. After 11 h, blood work revealed a serum bicarbonate level of 16 mmol/L with a normal anion gap; hence, subcutaneous insulin and oral intake were initiated. Intravenous insulin was continued for another hour to ensure adequate plasma insulin levels. The Bartholin's gland abscess was treated, and the patient was discharged on the following day.</t>
  </si>
  <si>
    <t>Based on the patient's data where the Glucose is 1160.0 mg/dL, the Sodium is 101.0 mEq/L, the Corrected Concentration of Sodium is 117.5198 mEq/L.</t>
  </si>
  <si>
    <t>A 14-year-old male presents to the emergency department with altered mental status. His friends who accompanied him said that he complained of abdominal pain while camping. They denied his consumption of anything unusual from the wilderness, or any vomiting or diarrhea. His temperature is 100.5°F (38.1°C), blood pressure is 95/55 mmHg, pulse is 130/min, and respirations are 30/min. His pupils are equal and reactive to light bilaterally. The remainder of the physical exam is unremarkable. His basic metabolic panel is displayed below:  Serum: Na+: 116 mEq/L Cl-: 70 mEq/L K+: 4.0 mEq/L HCO3-: 2 mEq/L BUN: 50 mg/dL Glucose: 1010 mg/dL Creatinine: 1.2 mg/dL  While the remainder of his labs are pending, the patient becomes bradypneic and is intubated. His ventilator is adjusted to volume control assist-control with a respiratory rate (RR) of 14/min, tidal volume (Vt) of 350 mL, positive end-expiratory pressure (PEEP) of 5 cm H2O, and fractional inspired oxygen (FiO2) of 40%. His height is 5 feet 5 inches. Intravenous fluids and additional medical therapy are administered.</t>
  </si>
  <si>
    <t>Based on the patient's data where the Heart Rate or Pulse is 60 beats per minute, the Blood Urea Nitrogen (BUN) is 18 mg/dL, the sex is Female, the Hemoglobin is 10.4 g/dL, the Systolic Blood Pressure is 110 mm Hg, the Glasgow Bleeding Score is 1.</t>
  </si>
  <si>
    <t>A 22-year-old white woman comes to the physician because of a 6-month history of lower abdominal pain. She has also had multiple episodes of loose stools with blood during this period. She has had painful bowel movements for 1 month. Over the past year, she has had a 10-kg (22-lb) weight loss. She was treated for streptococcal pharyngitis last week. Her maternal grandfather died of colon cancer at the age of 52 years. She does not smoke. She drinks three to five beers on social occasions. She is 162 cm (5 ft 4 in) tall and weighs 52 kg (115-lb); BMI is 19.7 kg/m2. Her temperature is 37°C (98.6°F), pulse is 60/min, respirations are 13/min, and blood pressure is 110/70 mm Hg. Cardiopulmonary examination shows no abnormalities. The abdomen is soft and there is tenderness to palpation of the left lower quadrant. There is no guarding or rigidity. Rectal examination shows no masses. Laboratory studies show: Hemoglobin 10.4 g/dL Leukocyte count 10,800/mm3 Platelet count 450,000/mm3 Serum Na+ 138 mEq/L Cl- 103 mEq/L K+ 4.9 mEq/L HCO3- 22 mEq/L Urea nitrogen 18 mg/dL Creatinine 0.6 mg/dL Antinuclear antibodies negative Perinuclear antineutrophil cytoplasmic antibodies positive Anti-Saccharomyces cerevisiae antibodies negative A colonoscopy is scheduled for the next day.</t>
  </si>
  <si>
    <t>Based on the patient's data where the sex is Male, the height is 178.0 cm, the IBW is 73.1812 kg.</t>
  </si>
  <si>
    <t>A male in his early 60s had been living in his car. He was found dead in the car approximately 1 month after he had last been seen alive. A police officer stated that he frequently consumed potatoes in the car. On external examination, the man was 178 cm in height and 69.2 kg in weight. Toxicological evaluation of postmortem cardiac blood was performed by using the LC/MS/MS rapid toxicology screening system ver. 2 (Shimadzu); drugs that could have directly caused his death were not detected. For the qualitative and quantitative analyses of α-solanine and α-chaconine, the validated method described in the present report was used.</t>
  </si>
  <si>
    <t>Based on the patient's data where the Heart Rate or Pulse is 70 beats per minute, the QT Interval is 310 msec, the Corrected QT Interval is 332.0004 msec.</t>
  </si>
  <si>
    <t>A patient has a heart rate of 70 bpm and a QT interval of 310 msec.</t>
  </si>
  <si>
    <t>Based on the patient's data where the Heart Rate or Pulse is 161 beats per minute, the QT Interval is 443 msec, the Corrected QT Interval is 619.7506 msec.</t>
  </si>
  <si>
    <t>A patient has a heart rate of 161 bpm and a QT interval of 443 msec.</t>
  </si>
  <si>
    <t>Based on the patient's data where the Glucose is 30.3 mmol/L, the Sodium is 133.0 mmol/L, the Corrected Concentration of Sodium is 166.3991 mEq/L.</t>
  </si>
  <si>
    <t>A 58-year-old Saudi diabetic female presented with left-sided involuntary movements. Unilateral movement was continuous, choreoathetotic, purposeless, non-stereotyped, and involved the face (twitching) and upper and lower extremities. It developed subacutely over 2 weeks. The movement was distressful to the patient and interfered with her activities of daily living and gait, causing recurrent falls. However, it ceased during sleep. She had poorly controlled diabetes for approximately 20 years, and was maintained on oral hypoglycemic agents. She was not on hormone replacement therapy or any other medications to which these symptoms could be attributed. There was no family history of movement disorders, and no clinical features suggestive of connective tissue diseases. Past medical history was of no relevance. Apart from the hemichorea involving the left side of the face and upper and lower extremities, her neurological examination was unremarkable; with normal higher mental function, and normal cranial and sensory nerve examination. On admission, she was hyperglycemic with a random serum glucose of 30.3 mmol/L, (normal level &lt;6.5 mmol/L); and her glycosylated hemoglobin was 13.5%, normal level=4-6%. Urine was negative for ketones. Expectedly, serum potassium was 5.6 mmol/L (normal level=3.5-5.0 mmol/L), and sodium was 133 mmol/L, (normal level=135-145 mmol/L), but other electrolytes were normal. Her blood count, coagulation profile, liver function tests, vitamin B12, and thyroid-stimulating hormone were all within normal. Lipid profile showed dyslipidemia (cholesterol 9.81 mmol/L, triglycerides 4.61 mmol/L, high-density lipoprotein 1.1 mmol/L, and low-density lipoprotein 6.61 mmol/L). Further workup reinforced the evidence of poor diabetic control; her ophthalmologic examination revealed moderate to severe nonproliferative diabetic retinopathy, and her protein to creatinine ratio was 2000. A CT scan taken on admission was normal. Non-enhanced brain MRI () was obtained the next day and demonstrated an area of hyperintensity on T1 weighted images; involving the left caudate, putamen, and internal globus pallidus. There was no restriction on diffusion-weighted images (DWI) and the apparent diffusion coefficient (ADC) map was normal. For glycemic control, she was started on an insulin regimen (bedtime insulin glargine and preprandial insulin aspart) with sitagliptin. Initially she was treated with lorazepam (2-6 mg/day) to control her HH. While lorazepam improved the quality of her sleep, it had no effect on the chorea in her waking hours. Valproic acid (400 mg/day) had no clear effect on chorea and was discontinued due to intolerance. She was then given haloperidol (gradually titrated from 1 mg/day to 8 mg/day) and clonazepam (titrated from 1.5 mg/day to 6 mg/day). She showed clinical improvement after a few days with improvement in her daily activities and gait. Initially, there was more improvement in her lower extremities than upper extremities and the face over a period of 2 weeks. However, she achieved a satisfactory glycemic control, with a fasting serum glucose ranging from 6 to 7.8 mmol/L. With the initiation of neuroleptics and the glycemic control, the hemichorea steadily improved. She was discharged and followed up at an outpatient clinic. Three months later, she was in stable condition and had no recurrence of chorea.</t>
  </si>
  <si>
    <t>Based on the patient's data where the sex is Female, the weight is 62.4 kg, the height is 153.4 cm, the Adjusted Body Weight is 52.8034 kg.</t>
  </si>
  <si>
    <t>A 31-year-old female patient was referred by her orthodontist to Asan Medical Center in Seoul, Korea for treatment of facial asymmetry and prognathism. The patient had never been diagnosed with a medical problem and had no previous history of fracture. Clinical examination revealed that the patient was slightly short in height (153.4 cm) and moderately overweight (62.4 kg, body mass index [BMI] 26.52 kg/m2). Examination of her facial features revealed a long lower face with vertical maxillary excess and mandibular asymmetry with occlusal canting of the maxilla. In addition, she had upper lip protrusion and lip incompetence.(, ) The intraoral findings included Class III malocclusion with an open bite. She had normal tooth structure and received proper dental care. Therefore, her periodontal health and oral hygiene were good. After the initial interview, the patient was referred to an orthodontist for leveling and alignment of the teeth, and treatment continued for approximately one year. After the presurgical orthodontic treatment, a clinical evaluation was repeated, and cephalometric radiographs and face bow recordings were obtained for final surgical planning 4 weeks prior to the surgery. In addition, a work-up for general anesthesia and surgery was performed, and the preoperative hematologic examination, electrocardiogram and chest radiograph were unremarkable. The surgery included bimaxillary procedures. Le Fort I osteotomy with midline correction, canting correction, posterior impaction, and setback movement of the maxilla were performed via rigid skeletal fixation. Bilateral sagittal split ramus osteotomies were performed with a setback movement via the hybrid fixation technique (with one miniplate and one additional bicortical screw). On the left side, a greenstick fracture occurred in the proximal segment. However, we could appropriately position the proximal and distal segments as planned, and so two additional bicortical screws were used to fix the fractured proximal segment. Two closed suction drains were inserted into the mandibular surgical site. The operation was completed without major bleeding, and the estimated blood loss during the surgery was 200 mL. Abnormal edema and ecchymosis were observed from the second postoperative day.() At first, an improperly functioning closed suction drain was suspected, but the ecchymosis and edema appeared to be bilateral, decreasing the likelihood of drain malfunction. On the second postoperative day, drain removal and maxilla-mandibular fixation (MMF) with elastic ring were routinely performed. Normally, an orthognathic surgical patient is hospitalized for 2 nights and 3 days after surgery, but in this case, the discharge was delayed due to the appearance of abnormal ecchymosis and edema. On the fifth postoperative day, nasal bleeding and transient blood pressure lowering were noted, but the problems resolved after nasal packing and administration of intravenous fluids. At 6 days postoperatively, the patient was stable, and she was discharged from the hospital. MMF was routinely stopped 2 weeks after surgery, and training elastics were applied. No other complications were observed. However, the ecchymosis persisted for 6 weeks, and although it dissipated slowly and spontaneously, no specific treatment was needed for its resolution. The follow-up examination at postoperative 3 months showed uneventful healing. During the search for the cause of unexpected postoperative bleeding, she recounted multiple fractures of the lower limbs during childhood, and blue sclera was noticed. Furthermore, her familial history included multiple bone fractures in her mother, grandmother, and cousin. Therefore, OI type I was suspected, and it was inferred that the patient's complications were ultimately caused by bleeding due to vessel fragility from OI. The postsurgical orthodontic treatment began one month after surgery. The molar and canine relation became Class I, and the open bite was greatly improved. After approximately eight months, debonding was done. The long lower face with vertical maxillary excess and mandibular asymmetry with occlusal canting of the maxilla were greatly improved. The upper lip protrusion and lip incompetence were also improved.(, )</t>
  </si>
  <si>
    <t>Based on the patient's data where the age is 62 years, the creatinine is 4.1 mg/dL, the sex is Female, the GFR is 12.8919 mL/min/1.73 m².</t>
  </si>
  <si>
    <t>A 62-year-old diabetic woman on chronic hemodialysis for 7 months was admitted to our hospital because of general weakness and constipation for 1 week. She was bed-ridden for 1 month because of a fracture of L3-L4 spine due to a pedestrian traffic accident. Her vital signs were within normal ranges, and she had no fever. Physical examination revealed soft but distended abdomen and hypoactive bowel sounds. Plain abdominal radiographs showed large bowel distension with stool impaction (). Laboratory data showed hemoglobin of 8.6 g/dL, hematocrit 25.8%, random glucose 258 mg/dL, blood urea nitrogen 24.8 mg/dL, serum creatinine 4.1 mg/dL, sodium 129 mEq/L, potassium 4.5 mEq/L, calcium 8.0 mg/dL, phosphorus 1.7 mg/dL, and C-reactive protein 48.1 mg/L. The serum magnesium level was 3.0 mg/dL, and was 2.2 mg/dL 1 week ago (normal range, 1.8-2.6 mg/dL). She had taken magnesium-containing laxative (magnesium hydroxide 1500 mg per day) for a month, which was prescribed by another clinic. Therefore, magnesium hydroxide was discontinued and other laxatives were given. On the 3rd hospital day, the patient became lethargic and showed somnolence. Physical examination showed generally hypoactive deep tendon reflex, abdominal distension with no bowel sounds, and severe tenderness on the lower abdomen. Her vital signs were; blood pressure: 90/60 mm Hg, pulse rate: 90 beats/minute, and body temperature: 37.0℃. Electrocardiogram revealed normal sinus rhythm. The serum magnesium level was rapidly increased to 6.0 mg/dL. Plain abdominal radiographs showed more distended large bowel loops compared with those on admission. Computed tomography (CT) showed diffuse and marked dilatation of large bowel loops with fecal impaction, compatible with megacolon. The clinical course and the serum magnesium level are shown in . Calcium gluconate was infused for a temporary antagonizing effect of hypermagnesemia. Nasogastric tube and rectal tube were inserted for gastrointestinal decompression. Hemodialysis was performed daily for hypermagnesemia correction. After three consecutive hemodialyses, the serum magnesium decreased to 3.3 mg/dL and vital signs became normal. The patient started to have bowel movements, and abdominal distension subsided slightly with defecation. On the 11th hospital day, she complained of severe abdominal pain again. Diffuse abdominal tenderness and rebound tenderness were noticed. She was hypotensive (blood pressure 90/50 mm Hg) with a rapid pulse of 100/minute and febrile (37.5℃). The serum magnesium level was 3.1 mg/dL. Follow-up abdominal CT showed large air fluid levels in the upper pelvic cavity, representing gastrointestinal perforation (). Emergent Hartmann's operation was performed. Operative finding was necrosis of the transverse colon and rectum, and histologic findings were gangrenous colitis with microperforation and serosal abscess of the colon and rectum. After the operation, her abdominal pain was resolved and vital signs became normal.</t>
  </si>
  <si>
    <t>Based on the patient's data where the Heart Rate or Pulse is 79 beats per minute, the QT Interval is 316 msec, the Corrected QT Interval is 379.915 msec.</t>
  </si>
  <si>
    <t>A patient has a heart rate of 92 bpm and a QT interval of 390 msec.</t>
  </si>
  <si>
    <t>UNKNOWN</t>
  </si>
  <si>
    <t>Based on the patient's data where the weight is 77.0 kg, the height is 183.0 cm, the BMI is 25.9232 kg/m².</t>
  </si>
  <si>
    <t>An 81-year-old, 77 kg, 183 cm man with a three-year history of muscle biopsy-proven IBM suffered a left intertrochanteric femoral fracture and a small parafalcine subdural hematoma as a result of falling down stairs in his home. The patient originally had progressive left proximal lower extremity and bilateral distal upper extremity weakness (left &gt; right) that began several years before the diagnosis was definitively established with a muscle biopsy. The patient's serum creatine phosphokinase concentration was 748 U/L (normal &lt; 170 U/L) at the time of the diagnosis. The patient had several near falls in the months preceding the accident. His left hand and wrist weakness affected his activities of daily living to some degree (fine motor skills), but physical and occupational therapy helped the patient remain active and he continued to live independently with occasional assistance from his wife. Because of worsening left quadriceps weakness, he had recently begun using a cane to help him rise from a seated position. The patient had a history of oropharyngeal dysphagia (solid food, pills) for which he was receiving care from an otolaryngologist. The patient also had chronic gastroesophageal reflux disease that was well controlled with a proton pump inhibitor. He did not have difficulty swallowing liquids and denied respiratory complaints associated with chronic aspiration. The patient did not lose consciousness after striking his head on the stairs and had no new neurological complaints. His other past medical history was notable for coronary artery disease, hyperlipidemia, chronic low back pain, and vertebral artery stenosis. He underwent coronary artery bypass graft surgery 16 years before the current admission. A previous transthoracic echocardiography revealed normal left ventricular systolic function. He denied chest pain, dyspnea, and exercise intolerance. The physical examination and radiographs of his femur revealed the left intertrochanteric fracture. The Glasgow coma scale was 15 and there were no new focal neurological deficits. A magnetic resonance imaging study demonstrated the small parafalcine subdural hematoma without a cerebral mass effect. The patient was transported to the operating room for repair of the left intertrochanteric fracture. Because primary respiratory failure (, ) resulting, at least in part, from diaphragmatic dysfunction () has been previously reported in patients with IBM and prolonged duration of action of neuromuscular blockers may also occur, the authors opted to avoid the use of a neuromuscular blocker for endotracheal intubation and during maintenance of anesthesia in the current patient. After applying cricoid pressure, anesthesia was induced using intravenous lidocaine (0.5 mg.kg-1), propofol (1 mg.kg-1), and remifentanil (infusion of 0.1 mcg.kg-1.min-1). Manual positive-pressure ventilation with sevoflurane (inspired concentrations between 2% and 3%) in oxygen (100%) was used with sustained cricoid pressure to supplement to intravenous anesthetics after loss of consciousness. After uneventful endotracheal intubation, anesthesia was maintained with sevoflurane (end-tidal concentrations between 0.7% and 1.5%) and remifentanil (infusion rates of 0.05 to 0.15 mcg.kg-1.min-1). The orthopedic surgeon repaired the fracture with a trochanteric femoral nail. Intravenous acetaminophen and fentanyl were administered for postoperative analgesia. The patient tolerated the procedure well. He demonstrated vigorous spontaneous respiratory effort as he emerged from anesthesia and was extubated without difficulty in the operating room. The patient made an uncomplicated recovery from surgery and was subsequently transferred to a rehabilitation facility in stable condition.</t>
  </si>
  <si>
    <t>Based on the patient's data where the Purulent tonsils is yes, the Symptom onset &lt;=3 days is yes, the Severe tonsil inflammation is yes, the Fever in past 24 hours is no, the FeverPAIN Score is 0.</t>
  </si>
  <si>
    <t>A 16-year-old female presents to her primary care provider for fatigue. She reports feeling well until two weeks ago, when she became unusually tired and developed a sore throat. Her mother took her temperature at home and reports that it was as high as 101.8°F (38.8°C). The patient reports that her sore throat has started to improve in the last few days, but her mother continues to be concerned that her daughter is missing school. The patient endorses heavy periods, soaking two menstrual pads per day and lasting for seven days. Her last menstrual period began two days ago. She denies sick contacts but has two younger siblings, and her father was recently diagnosed with multiple myeloma. Her temperature is 100.4°F (38.0°C), blood pressure is 115/72 mmHg, pulse is 106/min, and respirations are 20/min. On physical exam, the patient is tired appearing with cervical lymphadenopathy and the physical exam finding seen in Figure A.</t>
  </si>
  <si>
    <t>Based on the patient's data where the Chloride is 89.0 mEq/L, the Bicarbonate is 18.0 mEq/L, the Sodium is 121.0 mEq/L, the Anion Gap is 16.1524 mEq/L.</t>
  </si>
  <si>
    <t>A 56-year-old male was brought to the emergency department by paramedics for a syncopal episode and inability to move his lower extremities. He complained of abdominal pain and inability to move his legs beginning five hours prior to arrival. He awakened from a nap that afternoon and experienced numbness in both legs, which progressed to paralysis. At baseline, he was ambulatory without any history of weakness and was last ambulatory hours prior. He endorsed occasional pain in his legs when walking at baseline. He also complained of abdominal pain with nausea and vomiting for two days. He had a history of alcohol use and reported dark-colored emesis and last bowel movement three days prior. On review of symptoms the patient denied any history of headache, dizziness, chest pain, back pain, trauma, fevers, or extremity weakness. He walked longer than a mile the day prior. History from the patient’s wife revealed that he had an episode of altered level of consciousness while on the couch and that finding combined with his abdominal pain and paralysis prompted her to call 911. The patient’s past medical history was significant for hypertension, peripheral arterial disease, and myocardial infarction 10 years prior. His past surgical history included “abdominal stents” and a left carotid stent. His social history was significant for a 25-pack/year history of smoking and daily alcohol. His medications included atenolol and ranitidine. Physical exam showed an oral temperature of 36.7°C, blood pressure 107/65mmHg, heart rate 99 beats/minute and a respiratory rate of 30 breaths/min, with oxygen saturation on 15L non-rebreather mask of 94%. His weight was 72.5kg and he appeared older than his stated age. He was alert, cooperative and in moderate distress, primarily complaining of pain and cramping in his lower extremities and repeatedly asking staff to straighten out his legs although they were already lying straight and motionless on the gurney. His head exam was unremarkable with the exception of a dry oropharynx. Cervical spine, cardiac, and lung exams were unremarkable. His abdomen was firm and diffusely tender to palpation with generalized rebound and guarding. An irreducible left inguinal hernia was present. He had vomiting, and placement of a nasogastric tube revealed 1.5 liters of coffee-ground emesis. Lower extremities were thin, cool, and without any palpable or Dopplerable pulses in bilateral femoral, popliteal or pedal distribution. There was trace non-reproducible sensation to the mottled lower extremities, and no sensation distal to the ankles. Motor exam was significant for lower extremity paralysis. Laboratory data consisted of sodium 121mEq/L (135–145), potassium 6.8mEq/L (3.3–4.8), chloride 89mEq/L (101–111), HCO3- 18mEq/L (25–34), BUN 31mg/dL (8–26), creatinine 1.5mg/dL (0.5–1.3), and blood glucose 367mg/dL (70–115). White blood cell 19.1thous/mcL (4.0–10.5), hemoglobin 12.8g/dL (13.5–16.9), lipase 107U/L (22–51), hematocrit 38.8% (39.5–50.0), and platelets 165thous/mcL (150–400). There was a left shift in the neutrophils 16.2thous/mcL (85%) (2.0–8.1). Alkaline phosphate 88IU/L (26–110), AST 84IU/L (8–40), ALT 38IU/L (0.0–60), total bilirubin 1mg/dL (0.0–1.4), total protein 5.4g/dL (6.1–8.2), albumin 2.6g/dL (3.2–5.5). Lactate 7.2mmol/L (0.7–2.1). ABG showed pH of 7.25 (7.38–7.42), pCO2 31.6mmHg (36–42), pO2 123.6mmHg (80–104), bicarbonate 13.5mmol/L (21–27). PT was 17.3sec (9.5–12.3), PTT 45.9sec (24.1–35.1), and INR 1.62 (0.87–1.14). B-type natriuretic peptide 1,950pg/mL (&lt;100). Troponin 2.75ng/mL (&lt;0.03). Chest radiograph was unremarkable. Electrocardiogram (ECG) showed sinus rhythm at 95 beats/minute with ST elevation inferiorly, anteriorly and laterally (). Bedside ultrasound to evaluate the abdominal aorta was limited. Vascular surgery was consulted prior to CT for concern of a vascular catastrophe. Cardiology was consulted for the patient’s ECG findings consistent with myocardial infarction. The patient went for a non-contrast head CT that was unremarkable and a CT angiogram of the chest, abdomen and pelvis, which was significant for the abdominal aorta with no contrast opacification 2.2cm superior to the bifurcation (), high-grade stenosis of the right common iliac artery, complete occlusion of the left common iliac artery, stents in the celiac artery and superior mesenteric artery (SMA), evidence of occlusion of the proximal SMA and inferior mesenteric artery (IMA), hepatic, splenic, bilateral renal infarctions, left inguinal hernia, bowel obstruction, pneumatosis intestinalis with evidence of ischemic bowel, and aspiration in the right lower lung. General surgery was consulted. The cardiology service stated that the patient was not a candidate for cardiac catheterization and to start anticoagulation and low-dose aspirin if there was no contraindication or planned surgery. They also recommended thrombolytics for the diffuse thrombotic disease. The patient did have an echocardiography study that revealed an ejection fraction of 35% and multiple regional wall motion abnormalities. General surgery recommended comfort measures as he was not a surgical candidate. Vascular surgery commented that bypass would be futile and if patient survived, would be a candidate for extra-anatomical axillo-bifemoral bypass in the future. The patient was admitted to the medical intensive care unit for broad-spectrum antibiotics and a heparin drip and succumbed to his illness the following day.</t>
  </si>
  <si>
    <t>Based on the patient's data where the Alternative diagnosis to Deep Vein Thrombosis as likely or more likely is no, the Paralysis, paresis, or recent plaster immobilization of the lower extremity is yes, the Bedridden recently &gt;3 days is yes, the Major surgery within 12 weeks is yes, the Well's DVT Score is 2.</t>
  </si>
  <si>
    <t>A fifty-year-old Caucasian male sustained paraplegia at T-5 level in 1987 while driving his car, which skidded and crashed. He had been managing his bladder with long-term indwelling urethral catheter. He developed a false passage in posterior urethra. Therefore, he used undergo flexible cystoscopy and change of catheter over a guide wire. He used to have a size 16 Fr. silicone Foley catheters with 10 ml balloon. In 2005, this patient underwent above-knee amputation for pressure sore over left knee joint. He was readmitted to Spinal Injuries Centre in February 2008 for revision of the stump. On one night during his stay in spinal unit, the patient felt that there had been a tug on the drainage tube while he was being turned as part of the routine care for relief of pressure. Next morning, a health professional noticed that a long segment of catheter was lying outside penis. (Figure ) There was no bleeding from urethral meatus. Catheter continued to drain urine, which was yellowish in colour. Urine output was satisfactory. This patient did not develop any clinical feature of autonomic dysreflexia nor was he feeling unwell. In view of positive long catheter sign, radiological studies were performed to check the position of Foley catheter []. X-ray of urinary bladder, taken after injecting contrast both through balloon channel and main lumen of Foley catheter showed the Foley balloon to be lying in urethra. (Figure ) This radiological study confirmed the clinical impression of incorrectly positioned Foley catheter. The catheter was removed; flexible cystoscopy was performed. A 16 Fr, 20 ml balloon Foley catheter was inserted over a 0.032" guide wire. Following this procedure, a considerably shorter length of Foley catheter remained outside the penis. (Figure ) Positive long catheter sign could be recognised readily when Figure is compared with Figure . Insertion of a Foley catheter with 20 ml balloon, and securing the drainage tube to thigh with two straps, helped to prevent inadvertent pull of Foley balloon into the urethra.</t>
  </si>
  <si>
    <t>Based on the patient's data where the age is 72 years, the weight is 62.0 kg, the sex is Female, the Sodium is 144.0 mEq/L, the Free Body Water Deficit is 0.7971 L.</t>
  </si>
  <si>
    <t>A 72-year-old woman was admitted to our hospital for surgery for esophageal cancer. At admission, her blood pressure was 120/70 mmHg and pulse rate was 76 beats per minute. She was 152 cm in height and weighted 62 Kg. Physical examination was unremarkable. Preoperatively, renal function was moderately decreased (creatinine, 0.95 mg/dL, blood urea nitrogen: 16.5 mg/dL, uric acid: 5.7 mg/dL, sodium: 144 mEq/L, potassium: 4.1 mEq/L, chloride 110 mEq/L, phosphorus 3.7 mg/dL). During the thoracoscopic esophagectomy, blood loss was 460 ml, and hemodynamics were stable. Postoperatively, approximately 2 L of hypotonic fluid (0.2% saline with 4.3% dextrose) daily were administered, urine volume was stable (1.1–1.8 L), and plasma sodium levels were unchanged (140 mEq/L). However, on the third postoperative day, she suddenly developed polyuria (3.8 L/day) together with a decrease in CVP (). Serum sodium levels dropped to 124 mEq/L on the next day. Despite volume-to-volume correction with isotonic saline, the serum sodium levels dropped to a nadir of 112 mEq/L together with hyperkalemia (5.6 mEq/L) on the fifth postoperative day, and her consciousness level deteriorated. When her urine volume was 3.8 L and 3.5 L, there was a negative water balance (without including perspiration); −0.9 L and −0.5 L, respectively. The hematocrit value increased from 27.4% to 33.7% during the 2 days without blood transfusion. The next day, our department was consulted for further evaluation. She appeared dehydrated and there was an additional decrease in her CVP to a nadir of 1 cm of H2O. Laboratory findings on consultation are shown in . Urinary sodium concentrations were markedly high and serum uric acid levels were decreased from 5.7 mg/dL to 1.4 mg/dL. Urinary N-acetyl-β-glucosamininase (NAG) and β2-microglobulin were high and the calculated maximal tubular reabsorption of phosphorus per glomerular filtration rate (TmP/GFR) was relatively low (2.4 mg/dL), suggesting proximal tubule dysfunction. Furthermore, the calculated transtubular potassium gradient (TTKG) value was low (3.6) for her serum potassium levels (4.7 mEq/L), suggesting that aldosterone action at cortical collecting duct (CCD) was impaired. These features were not consistency with the diagnosis of a SIADH. Thus, she was diagnosed as having SLN due to renal tubular dysfunction. Sodium correction was done with 3% saline and fludrocortisone was started at a dose of 0.05 mg/day. Thereafter, urinary volume decreased and there was a gradual increase in serum sodium levels to 138 mEq/L and serum uric acid levels to 3.4 mg/dL. Her consciousness level completely recovered. On the 20th postoperative day fludrocortisone was discontinued and she was discharged. She has been followed as an outpatient without recurrence of the hyponatremia.</t>
  </si>
  <si>
    <t>Based on the patient's data where the Altered mental status is no, the Blood Urea Nitrogen (BUN) is 22 mg/dL, the Cerebrovascular disease history is no, the Congestive Heart Failure is yes, the Glucose is 196 mg/dL, the Heart Rate or Pulse is 93 beats per minute, the Hematocrit is 41 %, the Liver disease history is no, the Nursing home resident is no, the Partial pressure of oxygen is 78 mm Hg, the Pleural effusion on x-ray is yes, the Renal disease is no, the Sodium is 137 mEq/L, the Systolic Blood Pressure is 115 mm Hg, the Temperature is 37.3 degrees celsius, the age is 70 years, the pH is 7.36, the respiratory rate is 21 breaths per minute, the sex is Female, the PSI Score is 95.</t>
  </si>
  <si>
    <t>A 70-year-old female presented to the emergency department with symptoms of shortness of breath, cough, and mild fever lasting for approximately seven days. She denies any confusion, dizziness, or changes in her mental status. The patient has a medical history notable for congestive heart failure, but she has no history of renal or liver disease. She lives at home independently and is not residing in a nursing facility. On examination, the patient was alert and oriented. Her vital signs included a temperature of 37.3 degrees Celsius, heart rate of 93 beats per minute, respiratory rate of 21 breaths per minute, and a systolic blood pressure of 115 mm Hg. Given her history of congestive heart failure, careful evaluation was required. A physical examination of the lungs revealed decreased breath sounds and dullness to percussion over the lower areas of the chest, suggestive of a pleural effusion. Cardiovascular examination showed a regular rhythm without murmurs, rubs, or gallops, although there was mild peripheral edema consistent with her history. Investigations included an arterial blood gas which showed a partial pressure of oxygen at 78 mm Hg and a pH of 7.36, indicating no significant acid-base disorder at the time. Blood work revealed a blood urea nitrogen (BUN) level of 22 mg/dL, serum sodium concentration of 137 mEq/L, and a random blood glucose level of 196 mg/dL. Her hematocrit was measured at 41%. A chest X-ray confirmed the presence of a pleural effusion, which, along with clinical presentation, suggested a diagnosis of community-acquired pneumonia. Given the elevated BUN and her known heart failure, the patient required close monitoring and prompt management. She was subsequently admitted for further care, including intravenous antibiotics and supportive measures, to address the pneumonia and monitor her congestive heart failure. The patient’s family reported no recent changes in her cognitive status, and she has remained alert and oriented during her illness. Her medical history is unremarkable for chronic liver or renal conditions, and she does not have a history of cerebrovascular events. Given the combined findings, the clinical team began comprehensive treatment protocols while planning for further evaluation to optimize her recovery and management of her acute and chronic conditions.</t>
  </si>
  <si>
    <t>Based on the patient's data where the Albumin is 3.0 g/dL, the Calcium is 9.0 mg/dL, the Corrected Calcium Concentration is 9.8 mg/dL.</t>
  </si>
  <si>
    <t>Our patient was a 48-year-old female with a past medical history of hyperlipidemia, hypertension, and gastroesophageal reflux disease (GERD) who presented to the hospital with a two-week history of dry cough, fever, red conjunctiva, chills, malaise, myalgias, and generalized weakness. She reported a weight loss of 15 pounds in the past year. She had been a smoker but had quit five years prior to the presentation. Prior to this hospital visit, she had consulted an outpatient clinic with complaints of fever, chills, and cough. She had received a flu vaccine a month prior. She had been thought to have a viral respiratory infection as an outpatient. Ibuprofen, and later azithromycin, had been prescribed, which had not alleviated her initial symptoms before the current presentation. On physical exam, she had a temperature of 39.3 °C in the emergency department. She was tachycardic at 130 beats per minute and tachypneic with a respiratory rate of 24 breaths per minute. Her blood pressure was 149/74 mmHg. She had bilateral conjunctival injection, but her eyelids were grossly unremarkable. There was left axillary lymphadenopathy. A physical breast exam was normal with no palpable masses. There was no other palpable adenopathy, skin rashes, hepatomegaly, splenomegaly, clubbing, or edema. The respiratory and cardiovascular exams were otherwise unremarkable. Her ECG showed sinus tachycardia at 106 beats per minute but was otherwise unremarkable. Relevant laboratory workup included a leukocytosis of 16.7 Thou/uL (normal range: 3.8-10.2) with a neutrophilic predominance of 82.9%. She had chronic anemia with a hemoglobin (Hb) level of 8.9 g/dl (11.9-15.1) and a mean corpuscular volume (MCV) of 76 fL (78.2-98.4). Her ferritin was more than 7,500 ng/ml (11-307), with a total iron-binding capacity of 204 (250-450), and a low iron level of 37 ug/dl (50-212). Her angiotensin-converting enzyme (ACE) level was 97 U/l (8-52). Her C-reactive protein (CRP) was 19.05 mg/dl (0.02-1.00), D-dimer was 13.46 ugFEU/ml (&lt;0.50), aspartate aminotransferase (AST) was 54 U/L (13-39), and alanine aminotransferase (ALT) was 66 U/L (7-52); she had calcium of 9.0 mg/dl (8.6-10.2), albumin of 3.0 g/dl (3.5-5.0), serum 25-hydroxy vitamin D level of 22.4 ng/ml (30-100), creatinine of 1.11 mg/dl (0.49-1.01), and lactate dehydrogenase (LDH) of 344 U/L (140-271). The patient had not undergone a prior mammogram. A CT angiography (CTA) was performed, which ruled out any pulmonary embolus. There was no evidence of a pulmonary embolus, or pulmonary nodules, or infiltrates. However, the CTA revealed right hilar lymphadenopathy of 1.3 cm in size and subcarinal lymphadenopathy of 1.1 cm (Figures , ). A CT of the abdomen revealed a cystic mass of the left retroperitoneum measuring 14 x 11 x 6 cm. The official radiology report suggested that it was of a benign etiology, which could include cystic lymphangioma, mesenteric cyst, or duplication cyst. A cystic neoplasm was considered unlikely in the radiology report. The patient was placed on broad-spectrum antibiotics, including vancomycin, cefepime, metronidazole, and azithromycin as well as intravenous fluids to treat a possible unknown infective source while awaiting cultures and further investigation. It was initially thought that a respiratory or abdominal source was the possible infective foci, which guided the selection of antibiotics. The infectious disease team suspected an intrabdominal or lung infective etiology. An initial differential by the infectious diseases specialists, aside from infection, also included lymphoma and autoimmune processes such as sarcoidosis. The pulmonology team later advised that there was no evidence of pneumonia or tracheobronchitis. The hematology team emphasized the need to rule out lymphoma. Blood cultures, sputum cultures, and urine cultures were all negative. Antibiotics were initially tapered to ceftriaxone and metronidazole and then completely discontinued on day six. Drainage of the abdominal cyst revealed 250 mL of pale straw-colored serous fluid. Fluid chemistries were negative for an infectious or malignant etiology. The patient underwent extensive investigation. Serum thyroid-stimulating hormone (TSH) levels, serum creatine kinase levels, serum HIV tests, rapid plasma reagin (RPR) test, an acute hepatitis panel, three acid-fast sputum stains, QuantiFERON®-TB Gold test, anti-SS-A antibody levels, anti-SS-B antibody levels, and urinalysis were all normal. She did, however, test positive for an antinuclear antibody (ANA) speckled+ pattern. The ANA titer was 1:320. The double-stranded DNA antibody levels were within the normal range at 49 Iu/ml (&lt;200 Iu/ml). A bone marrow biopsy of the iliac crest showed no evidence of malignancy or acid-fast bacilli. Surgery was consulted for an excisional lymph node biopsy of the left axillary lymph node. The sample was a solid tan nodular-appearing tissue measuring 2.0 x 1.5 x 1.0 cm. Biopsy revealed numerous non-caseating epithelioid granulomas present in the lymphoid tissue. Stains were negative for acid-fast bacilli and fungus. The biopsy results were consistent with sarcoidosis. Flow cytometry later showed no evidence of B or T cell lymphoma. A tentative diagnosis of sarcoidosis was made. The granulomatous disease is seen only in sarcoidosis, tuberculosis, or fungal infections. The non-caseating granulomatous disease in the lymph nodes pointed most closely to sarcoidosis. The pulmonologist considered this to be a case of extrapulmonary sarcoidosis because only hilar nodes were involved without any lung parenchymal involvement. It was thought conceivable that the ANA elevation may have been related to sarcoidosis, although we agreed to continue to monitor the patient for other collagen vascular diseases. During the hospitalization, the patient had daily high-grade fevers. The fevers were intermittent, daily, variable, and went from 38.4 to a high of 39.4 °C. The patient was also seen by ophthalmology, and she was diagnosed with blepharitis. No uveitis or episcleritis was noted. She was treated with eye drops containing steroids, antimicrobials, and artificial tears. She was started on prednisone 40 mg PO daily with outpatient follow-up. Her fever and ocular symptoms resolved. She was seen in an outpatient clinic prior to the onset of the coronavirus disease 2019 (COVID-19) pandemic and then moved to a different location.</t>
  </si>
  <si>
    <t>Based on the patient's data where the Sodium is 124.0 mmol/L, the Chloride is 86.0 mmol/L, the Bicarbonate is 14.0 mmol/L, the Delta Ratio is 1.4137.</t>
  </si>
  <si>
    <t>A 38-year-old male with a past medical history of prediabetes was hospitalized and treated for acute hypoxemic respiratory failure secondary to COVID-19 pneumonia. During that admission, blood sugar level remained below 150 mg/dL even while the patient was being administered glucocorticoids. Glucocorticoids were discontinued after five days of hospitalization. Six weeks later, he was admitted for a severe hyperglycemic state of glucose level over 500 mg/dL. Symptoms reported included polyuria and polydipsia for one week. Physical examination and vital signs were unremarkable except for a body mass index of 29.52 kg/m2. Initial labs revealed sodium of 124 mmol/L (normal range: 136-145 mmol/L), chloride of 86 mmol/L (normal range: 98-108 mmol/L), blood sugar of 532 mg/dL (normal range: 74-110 mg/dL), bicarbonate of 14 mmol/L (normal range: 22-29 mmol/L), pH of 7.27 (normal range: 7.32-7.42), and lactate 3.1 of mmol/L (normal range: 0.5-2.2 mmol/L). Serum and urine ketones were positive. COVID-19 polymerase chain reaction (PCR) test was negative, whereas COVID-19 immunoglobulin G (IgG) antibodies titer was positive. Urine and blood cultures were negative, and chest X-ray was negative for any pneumonia, as shown in Figure . Hemoglobin A1c was found to be 10.8% (normal range: 4-5.6%), whereas during the last admission with COVID-19 pneumonia hemoglobin A1c was found to be 6.1%. Labs further showed triglyceride level of 1,269 mg/dL (normal range: 10-149 mg/dL), fasting C-peptide level of 1.8 ng/mL (normal range: 1.1-4.4 ng/mL), and weakly positive glutamic acid decarboxylase antibodies. Islet cell antibodies, insulin antibodies, and zinc transporter 8 antibodies were negative. The patient was treated for diabetic ketoacidosis with insulin detemir as a basal insulin and insulin lispro as a bolus. The anion gap closed and blood sugar level showed improvement. The patient was later discharged on metformin and pioglitazone in addition to the basal-bolus insulin. The patient was followed for three weeks after the second discharge and reported fasting blood sugars in the range of 120 to 130 mg/dL with dietary modification, lifestyle changes, oral antidiabetics, and insulin (Figure ).</t>
  </si>
  <si>
    <t>Based on the patient's data where the creatinine is 2.0 mg/dL, the Continuous veno-venous hemodialysis for ≥24 hours in the past week is no, the Dialysis at least twice in the past week is no, the international normalized ratio is 1.59, the Sodium is 142.0 mEq/L, the Bilirubin is 0.7 mg/dL, the MELD Na Score is 18.0.</t>
  </si>
  <si>
    <t>A 57-year-old man with a history of hypertension and right hip fracture called emergency medical services and complained of severe leg pain. When the emergency medical services team arrived on scene, the patient was found down on the floor with right leg weakness; he was confused and aphasic. No fumes or smoke was evident. Due to altered mental status, he was intubated and was subsequently transferred to our medical facility. Six hours after the incident, the patient was more alert and oriented and his leg pain had subsided. Details of smoking history could not be obtained due to the intubation. On physical examination, temperature was 35.8°C, heart rate 107 bpm, blood pressure 137/94 mm Hg, and respiratory rate 14 breaths/minute. He had regular heart rhythm, no murmur or pericardial rub. His abdomen was soft with active bowel sound. There were no symptoms and signs of limb ischemia on admission. He had no leg pain, pallor, poikilothermia, pulselessness, paresthesia, or paralysis. Motor power was at least grade 4 in all 4 extremities. His dorsalis pedis pulse was 2+ bilaterally. Initial investigations at our medical facility showed white blood cell 11400/µL, neutrophils 89%, hemoglobin 13.1 g/dL, hematocrit 38.6%, platelet 159000/µL, blood urea nitrogen 29 mg/dL, creatinine 2.0 mg/dL, sodium 142 mEq/L, potassium 3.9 mEq/L, chloride 102 mEq/L, bicarbonate 19 mEq/L, lactic acid 4.25 mmol/L, troponin T 0.1 ng/mL, and negative for acetone. Electrocardiogram showed sinus tachycardia and no ST-T change. The liver function test demonstrated aspartate aminotransferase 1697 IU/L, alanine aminotransferase 1263 IU/L, alkaline phosphatase 138 IU/L, total bilirubin 0.7 mg/dL, total protein 6.2 gm/dL, and albumin 3.5 mg/dL. Urinalysis showed white blood cell 5 to 10/high-power field, red blood cell 0 to 3/high-power field, moderate blood but negative for urine myoglobin. Coagulogram showed prothrombin time 17.5 seconds, partial thromboplastin time 25.8 seconds, and international normalized ratio 1.59. Calculated fractional excretion of sodium and urea were 2.11% and 43.67%, respectively, consistent with acute tubular necrosis. The viral hepatitis panel was negative except for a positive AntiHBc IgG antibody. Arterial blood gas analysis on admission depicted pH 7.319, PO2 130.3 mm Hg, PCO2 40.8 mm Hg, HCO3 20.5 mEq/L, and Sao2 100%, carboxyhemoglobin 0.2%, and methemoglobin 0.1% while on assist-control mode of mechanical ventilation with Fio2 100%. Computed tomography of head was performed and showed chronic right basal ganglion infarct. Transthoracic echocardiography was performed and showed severely depressed left ventricular function with ejection fraction of less than 20%, grade II/IV diastolic dysfunction with mild TR, mild MR, and mild PR. Akinesis of the septal wall and hypokinesis of the anterolateral wall were present. Moreover, computed tomography of abdomen, pelvis, and chest without contrast revealed right lower lung consolidation with small right pleural effusion, moderately bilateral nonspecific perinephric fat stranding, submucosal fatty infiltration, and mild wall thickening of the descending colon down to the rectum. Subtle perirectal fat stranding was also visualized. Initially, he was treated with empiric antibiotics for possible pneumonia with severe sepsis with piperacillin-tazobactam, levofloxacin, and vancomycin. Aspirin and full-dose enoxaparin were started to cover possible acute coronary syndrome. Surgery was consulted due to a concern of bowel ischemia. Proctoscopy was done and showed normal pink rectal mucosa without blood in the vault. Because the patient was hemodynamically stable, had no abdominal pain, and lactic acid level had returned to normal, the surgery service recommended continued fluid replacement for volume expansion. His lactate levels decreased spontaneously from 15 mmol/L to 3.39, 2.52, and 1.28 mmol/L at 0, 10, 14, and 33 hours, respectively, after his initial symptoms, along with an improvement of arterial pH and anion gap (). After 24 hours of admission, he improved dramatically and was extubated on day 2 of admission. Five hours after extubation (42 hours after admission), he started to have left leg pain. His left leg turned bluish and became paler with prominent livedo reticularis throughout his left leg (). Therefore, a heparin drip was initiated promptly and vascular surgery was consulted. Soon after that, the patient developed sudden cardiac arrest with pulseless electrical activity. He had return of spontaneous circulation after 15 minutes of cardiopulmonary resuscitation. At that moment, his lactate level rebounded to 8.13 mmol/L. To rule out acute aortic dissection and acute massive pulmonary embolism as well as acute left limb gangrene from embolism, computed tomography of pulmonary artery with contrast and computed tomography angiogram of aorta were performed. He had no pulmonary emboli or abdominal aortic dissection. He did have high-grade stenosis of the infrarenal abdominal aorta just above the bifurcation, near total occlusion of the right common iliac artery, severe luminal narrowing of the left common iliac artery, bilateral external iliac arteries, and bilateral common femoral arteries by calcified and noncalcified plaques ( and ). Emergent revascularization was planned but the patient developed pulseless electrical activity/asystole again and passed away.</t>
  </si>
  <si>
    <t>Based on the patient's data where the age is 45 years, the Suspicion History is Moderately suspicious, the HEART Score is 4.</t>
  </si>
  <si>
    <t>A 45-year-old white female with a long-standing history of uncontrolled gastroesophageal reflux disease presented for laparoscopic Nissen fundoplication. The patient had a 14-year history of cold urticaria in addition to osteoarthritis, diverticulitis, and restless leg syndrome. Prior triggers for the patient’s cold urticaria included consuming ice chips, being in cold environments and colonoscopy bowel preparation. She was also allergic to naproxen, guaifenesin, and menthol. Her previous cold exposures had led to complications as varied as extremity numbness to airway compromise, anaphylaxis, and cardiac arrest. Her home medications included escitalopram, pramipexole, cetirizine, and ranitidine. Her surgical history consisted of a cesarean delivery and cholecystectomy, both prior to the diagnosis of cold urticaria. Neither she nor her family had a history of adverse reactions to anesthesia. At presentation for surgery, the patient’s physical exam was unremarkable, including a Mallampati class II oropharynx. Vital signs before induction were normal: heart rate 82 beats/min, blood pressure 122/80 mmHg, respiratory rate 16/min, SpO2 100% on room air. Thirty minutes prior to induction, diphenhydramine 25 mg IV, famotidine 20 mg IV, hydrocortisone 100 mg IV, and midazolam 2 mg IV were administered. Intubation was uneventful after induction of general anesthesia with lidocaine, propofol, and fentanyl. Rocuronium was used for neuromuscular blockade, and anesthesia was maintained with desflurane. Normothermia was maintained with two warm blankets pre-intubation upon arriving to the OR and 2 separate forced air warming blankets over the lower and upper body after intubation. The OR temperature was maintained above 70°F. A fluid warmer was used on all intravenous fluids flowing into an 18-G peripheral venous catheter. Body temperature was monitored with both an oropharyngeal probe and a bladder probe. Epinephrine was prepared in advance and kept immediately on hand. Just before incision, the patient developed hypotension with a blood pressure of 69/30 mmHg, which was successfully treated with epinephrine. There was no evidence of urticarial rash or bronchospasm during this period. Hypertension and tachycardia resulting from epinephrine administration were treated with esmolol and by increasing the depth of anesthesia. There were no more episodes of hemodynamic instability for the remainder of the case. The surgical procedure progressed without complication. Paralysis was reversed with neostigmine, and extubation was uneventful. Hydromorphone was used for pain control during and after the case. In the postoperative care unit, the patient initially showed delirious disorientation to time and place, but this resolved after haloperidol 2 mg IV. Her vital signs and temperature remained stable during the recovery period with no evidence of an urticarial rash. Warm blankets were utilized to maintain normothermia while recovering from general anesthesia.</t>
  </si>
  <si>
    <t>Based on the patient's data where the sex is Male, the weight is 53.0 kg, the height is 171.0 cm, the Adjusted Body Weight is 50.2118 kg.</t>
  </si>
  <si>
    <t>A 31-year-old man with CD was admitted to the hospital because of severe abdominal pain and diarrhea. He had been diagnosed with CD 10 years previously, but he was lost to follow-up, during which he experienced repeated exacerbations and remissions. The patient had taken mesalazine 3,000 mg/day and azathioprine 50 mg/day and had started infliximab one year prior to admission. With infliximab, the patient experienced immediate relief of diarrhea and abdominal pain, but obstructive symptoms had gradually worsened. He complained of abdominal pain, increased borborygmus, decreased oral intake, and a decrease in body weight. Abdominal CT scan and small bowel series revealed an ileocolic fistula, multiple ulcers, and severe stricture of the small bowel (). Vital signs (blood pressure, 120/80 mmHg; pulse rate, 80 beats/min; respiratory rate, 20 beats/min; body temperature, 36.9℃) were normal. He has a height of 171 cm, a weight of 53 kg, and a BMI of 18.1 kg/m2. The patient had a chronically ill appearance with pale conjunctiva, mild tenderness in the lower abdomen, and accentuated bowel sounds. Liver and spleen were not palpable. Pitting edema could be seen on both lower limbs. Laboratory testing revealed anemia with a hemoglobin level of 8.7 g/dL, leukocyte count of 3,970/mm3, and platelet count of 265,000/mm3. Serum chemistry tests were consistent with severe malnutrition: AST/ALT 53/29 IU/L, BUN/creatinine 15/0.64 mg/dL, total protein/albumin 4.3/2.2 g/dL, and total cholesterol 88 mg/dL. ESR and CRP level were 35 mm/h and 2.1 mg/dL, respectively. Both anti-Saccharomyces cerevisiae-antibodies IgA and IgG were negative, and the patient's CDAI was about 261 points. He had been experiencing approximately 25 liquid stools per week, severe abdominal pain, and a very poor sense of well-being. To improve the patient's condition, wide resection of involved bowel and colostomy would be needed; however, because of a psychological reaction to personal disfigurement and the need to relearn bowel habits, he strongly refused colostomy. Therefore, we decided to perform a small and large bowel segmental resection and primary repair. Gross findings during surgery included an abscess connected to the terminal ileum, bladder adhesion, a jejuno-sigmoid fistula, and huge inflammatory masses. An ileocecectomy, jejunal resection, and sigmoid colon resection were performed, followed by primary repair of the jejunum, rectum, and sigmoid colon (). Fortunately, 220 cm of the small bowel remained after surgery. However, one week postoperatively, the patient developed a high fever and abdominal pain. Abdominal CT scan revealed a fistula connected to an intraperitoneal abscess (). The patient was started on intravenous antibiotics, and the abscess was drained percutaneously. A total of four percutaneous drainages were performed. The drainage fluid was dark yellow and highly viscous but gradually cleared after continuous use of antibiotics. However, despite no further evidence of infection (white blood cell count 4,270/mm3 and CRP 0.3 mg/dL), approximately 30-50 cc of fluid issued from every drain daily, even one month after the operation. The patient was started on 5 mg/kg of infliximab to treat the postoperative fistula and prevent a recurrence. After infliximab therapy was initiated, drainage decreased dramatically to less than 10 cc a day. In follow-up abdominal CT scans, the abscess in the abdominal cavity and the postoperative fistula disappeared (). The percutaneous drainages were consecutively removed, the patient began receiving oral nutrition, and the intravenous antibiotics were stopped. The patient quit smoking, and infliximab was injected to prevent disease recurrence. Three months after surgery, the patient looked healthy and reported passing stools once or twice a day. His body weight increased by 8 kg, BMI increased to 20.9 kg/m2, and his CDAI decreased to 60. In follow-up laboratory exams, the patient's hemoglobin level was 12.7 g/dL, total protein and albumin were 6.9/3.9 g/dL, and total cholesterol was 130 mg/dL.</t>
  </si>
  <si>
    <t>Based on the patient's data where the creatinine is 5.5 mg/dL, the Continuous veno-venous hemodialysis for ≥24 hours in the past week is yes, the Dialysis at least twice in the past week is yes, the international normalized ratio is 2.0097, the Sodium is 141.0 mEq/L, the Bilirubin is 1.3 mg/dL, the MELD Na Score is 29.9582.</t>
  </si>
  <si>
    <t>A 40 year-old-female Altered mentality This previously healthy 40-year-old female was transported to the emergency room by her neighbors, who heard her moaning in her house. She lived alone, and 1 month prior to her admission, she developed the paranoid idea that her water was poisoned, and did not drink any water or beverages since then. Non-contributory Non-contributory Her blood pressure was 100/60 mmHg, pulse rate 106/min, respiration rate 16/min, and body temperature 36.5℃. She looked chronically ill, and her skin and mucosa were extremely dehydrated. There was no evidence of trauma. A chest examination revealed a regular heart beat and clear breathing sounds. The abdomen was soft and flat with no palpable mass. She was light, drowsy and disorientated. Her pupils were intact and reactive. The Glasgow Coma Scale was 11. No cranial nerve problem or peripheral nerve dysfunction was found. White blood cell count 21,900/mm3 (4000-10,000/mm3), hemoglobin 11.2 g/dL(men 13-17 g/dL: women 12-16 g/dL), hematocrit 51%(men: 42-50%: women 36-44%), and platelets 207,000/mm3 (150,000-400,000/mm3). Her coagulation profile showed an international normalized ratio of 1.71 (1.2 below) and activated partial thromboplastin time of 177.4 sec (24-33 sec). Laboratory chemistry showed blood urea nitrogen 208mg/dL (8.0-20 mg/dL), creatinine 4.90mg/dL(0.6-1.2mg/dL), serum osmolality 452mOsm/L(289-302mOsm/L), protein 7.5 g/dL (6.5-8.2mg/dL), albumin 4.5 g/dL(3.5-5.1 g/dL), ionized calcium 4.6mg/dL (4.2-5.4mg/dL), magnesium 4.5mg/dL (1.9-2.5 mg/dL), serum sodium 172mEq/L(135-145mEq/L), potassium 4.4mEq/L(3.5-5.5mEq/L), chloride 127mEq/L(98-110 mEq/L), total CO2 21mEq/L (24-31mEq/L), aspiratetransaminase 22 IU/L (0-40 IU/L), alanine aminotransferase 16 IU/L (0-40 IU/L), total bilirubin 1.1mg/dL(0.2-1.1 mg/dL), myoglobin 1,949 ng/mL (28-72 ng/mL), creatine phsphokanase 389 IU/L (190 below IU/L), anti-diuretic hormone 8.95 pg/mL(0.0-6.7 pg/mL), adrenocorticotropic hormone (ACTH) 111 pg/mL(10-60 pg/mL), and cortisol 71 g/mL (morning 9.4-26.1/evening 1.8-12.7 g/mL). Breathing room air, the arterial blood gas analysis revealed pH 7.422, PaCO2 35.4mmHg, PaO2 106mmHg, and bicarbonate 22.6mEq/L. Urinalysis showed specific gravity was &gt;1.030, urine pH 5.0, urine osmolality 698mOsm/L (300-900mOsm/L), and urine sodium/potassium/chloride34/85.6/8mEq/L. Brain computerized tomography (CT) was normal. She was diagnosed with uremic encephalopathy due to severe prerenal acute renal failure. Her estimated water deficit was 5.94 L. We started intravenous dextrose for 4h, but the changein serum sodium was minimal (171mEq/L). We therefore started hemodialysis to treat the uremic encephalopathy. The dialysate sodium level was 150mEq/L. After dialysis, the serum sodium decreased to 160mEq/L, potassium was 4.2mEq/L, chloride 124 mEq/L, and total CO2 23mEq/L. After a second dialysis treatment, the sodium was 150mEq/L and she became alert without neurological sequelae. We continued an intravenous dextrose fluid infusion with oral hydration, and the sodium level normalized on day 3 of hospitalization (). After discharge, her sodium and chemistry profile remained normal.</t>
  </si>
  <si>
    <t>Based on the patient's data where the high-density lipoprotein cholesterol is 74.0 mg/dL, the Triglycerides is 38.0 mg/dL, the Total cholesterol is 116.0 mg/dL, the Concentration of LDL Cholestrol is 29.7111 mg/dL.</t>
  </si>
  <si>
    <t>A 35-year-old woman came to our emergency department complaining of severe general weakness and epigastric pain for the last 5 days. In her past medical history, she was diagnosed with AN and borderline personality disorder at a local psychiatric clinic 5 years ago. The only meals she used to have on a daily basis were milk and fruits for a period of 17 years, and even her daily meal intake rapidly decreased after her mother went abroad two weeks ago. This was because she appeared to be extremely dependent on her mother. She did not have any history of diabetes mellitus, hypertension, or hepatitis previously. However, she had taken psychiatric medications for 6 months approximately 5 years ago. In addition, she also intermittently took medications for amenorrhea and osteoporosis. On admission, her vital signs were: blood pressure of 90/60 mm Hg, pulse rate of 60 beats/min, respiration rate of 20 breaths/min, and body temperature of 36.5℃. She was alert, but looked chronically ill and cachexic. Her body weight was 30 kg and body mass index was 11.71 kg/m2. She had a severely dehydrated tongue, but her chest and abdomen physical examination showed no abnormalities. Her laboratory examinations were as follows; white blood cell 8,940/mm3, hemoglobin 15.8 g/dL, hematocrit 43.8%, platelet 70,000/mm3, random blood glucose 132 mg/dL, blood urea nitrogen/creatinine 35.9/0.44 mg/dL, total protein/albumin 5.6/3.6 g/dL, aspartate aminotransferase/alanine aminotransferase 471/374 IU/L, total bilirubin 1.90 mg/dL, Na/K 127/2.6 mEq/L, Ca/P/Mg 8.5/5.3/1.6 mg/dL, total cholesterol 116 mg/dL, triglyceride 38 mg/dL, high density lipoprotein-cholesterol 74 mg/dL, T3 0.43 ng/mL (0.78-1.82 ng/mL), free T4 0.94 ng/mL (0.85-1.86 ng/mL), thyroid stimulating hormone 1.71 mIU/L (0.17-4.05 mIU/L), adrenocoticotropic hormone 11.44 pg/mL (6.00-56.70 pg/mL), cortisol 17.40 ug/dL (9.41-26.06 ug/dL), and aldosterone 31.66 pg/mL (40-102 pg/mL). Initial cardiac biomarkers were elevated as follows; creatine kinase-MB 154.30 ng/mL (0-5 ng/mL), troponin-I 2.580 ng/mL (0-0.78 ng/mL) and N-terminal pro-B-type natriuretic peptide 8,963 pg/mL (0-155 pg/mL). Her chest X-ray and abdomen computed tomography showed no significant lesions associated with epigastic pain. Initial electrocardiogram showed sinus rhythm (60 beats/min), prolonged corrected QT interval (543 ms), pathologic Q waves in II, III, aVF and V1-V3, inverted T waves in II, III and aVF and poor R progression in precordial leads (). Echocardiogram revealed large akinetic areas around the apical, inferior, anterior and lateral sides with hypercontraction of the basal segments, linear echogenic mural thrombus, pericardial effusion, and a reduction of ejection fraction to 36% (). Therefore, we strongly suspected that she was SICMP because of her characteristic echocardiograhic findings. Only standard medical treatment was given to the patient since she and her guardian refused to receive a coronary angiogram. Therefore, we started the treatment with low molecular weight heparin, and nutrition support with immediate multi-systemic interventions. Psychiatric consultation was also accompanied by medical therapy. After three days, we stopped anticoagulation therapy due to aggravated thrombocytopenia and prolonged prothrombin time (PT). Overall, her daily oral intake increased together with her body weight, 33 kg compared to 30 kg in the beginning. Electrolyte imbalance, liver dysfunction, and thrombocytopenia were also normalized. Two weeks later, the next follow-up echocardiogram indicated a significant improvement of the LV ejection fraction (42%) and wall motion abnormalities. On the other hand, apical mural thrombosis still remained and pericardial effusion increased (). On the next follow-up electrocardiogram, the corrected QT interval decreased to 453 ms. Furthermore, pathologic Q waves, inverted T waves and poor R progression observed in the initial ECG disappeared (). However, she and her guardian strongly insisted on discharging from the hospital against the clinician's recommendation. Although appointments with cardiology and psychiatry departments were arranged with continuing mental support and follow-up echocardiogram, she never came back to the hospital after her discharge.</t>
  </si>
  <si>
    <t>Based on the patient's data where the international normalized ratio is 1.43, the Ascites is absent, the Albumin is 4.1 g/dL, the Bilirubin is 4.3 mg/dL, the Encephalopathy is No Encephalopathy, the Child-Pugh Score is 7.</t>
  </si>
  <si>
    <t>A 70-year-old Mongolian man was referred to our hospital suffering from high-grade fever and chills. He had a past medical history of esophageal varices rupture 20 years before. Since then, he had visited our hospital for alcoholic liver cirrhosis and diabetes mellitus. He received a treatment for ascites caused by liver cirrhosis. Urinary diuresis was not effective because of low Na level and dehydration. As liver function was relatively suppressed, he underwent Denver shunt implantation 9 months before presentation. After the operation of Denver shunt implantation, ascites rapidly disappeared. Diabetes mellitus was controlled well (HbA1c 6.3%) by a oral hypoglycemic agent (glimepiride 3 mg/day). This time, he developed high-grade fever with chills and without gastrointestinal symptoms. His body temperature was 38.5°C, but he was hemodynamically stable. Initial laboratory results were as follows: white blood cell count 7,700/μl, hemoglobin 12.9 g/dl, platelets 5.6 × 104/μl PT-INR 1.43, CRP 5.0 mg/dl, aspartate aminotransferase (AST) 349 IU/l, alanine aminotransferase (ALT) 353 IU/l, alkaline phosphatase (ALP) 522 IU/l, gamma-glutamyl transferase (GGT) 104 IU/l, total bilirubin (T-bil) 4.3 mg/dl and albumin 4.1 g/dl. Abdominal ultrasonography (US) showed multiple small low-echoic lesions in the right lobe of the liver (fig. ). These findings were further confirmed by abdominal enhanced computed tomography (CT) that showed peripheral enhancement with central hypodense multiple small lesions in the right lobe of the liver with no ascites (fig. ). After admission to our hospital, he underwent echocardiography, chest CT, esophagogastroduodenoscopy and colonoscopy, however, no other sources of infection could be detected. Blood culture was negative and anti-amebic antibody was also negative. He was treated for pyogenic liver abscesses with sulbactam/cefoperazone for 2 weeks and subsequently changed to levofloxacin for 2 months. The liver abscesses disappeared after the antibiotic treatment and liver function normalized to original levels (AST 44 IU/l, ALT 37 IU/l, ALP 336 IU/l, GGT 85 IU/l and T-bil 0.9 mg/dl). However, 3 months later, he suffered from high-grade fever with chills and no other symptoms. Laboratory results were as follows: white blood cell count 7,400/μl, platelets 4.6 × 104/μl, CRP 9.2 mg/dl, AST 933 IU/l, ALT 1,202 IU/l, ALP 870 IU/l, GGT 93 IU/l and T-bil 4.0 mg/dl. Abdominal enhanced CT showed multiple small lesions in both lobes of the liver (fig. 2). Blood culture was negative. Sulbactam/cefoperazone had no effects. Meropenem was administered for 2 weeks, followed by levofloxacin for 2 months, and liver function rapidly normalized to original levels (AST 43 IU/l, ALT 30 IU/l, ALP 435 IU/l, GGT 87 IU/l and T-bil 1.8 mg/dl). After the levofloxacin treatment, the disappearance of liver abscess was confirmed (fig. ). We started selective intestinal decontamination by administering kanamycin (2 g/day) to prevent the occurrence of abdominal infection. Since then, he has had no recurrence of liver abscess for over a year.</t>
  </si>
  <si>
    <t>Based on the patient's data where the weight is 39.5 kg, the Fluid Maintenance is 64.6551 mL/hr.</t>
  </si>
  <si>
    <t>A 19-year-old female patient was admitted to our surgical unit with severe anemia (Hb 4.1 g/dL). Impaired growth was noted (weight 39.5 kg; height 146 cm; BMI 17.6 kg/m). She had a heart rate of 78 beats per minute, blood pressure of 226/136 mmHg, respiration rate of 16 breaths per minute and arterial oxygen saturation of 96%. Blood analysis showed a serum creatinine level of 10.97 mg/dl (nv 0.5-1.1) and urea 109 mg/dL (nv 16-46) mmol/L. The patient also presented with bilateral AMLs, hypertension and seizure disorder. Her relatives reported difficulty in managing her home medications (antihypertensive and antiepileptic drugs) due to her intellectual disability. The patient had been diagnosed with TSC in childhood; there was a paternal family history of TSC. Polycystic kidney disease (PKD) in end-stage renal failure appeared four years prior and the patient has been undergoing peritoneal dialysis since the diagnosis. At the age of 18 years, she underwent a prior unilateral endovascular embolization to treat renal aneurisms and the procedure successfully stopped a bleeding aneurism at the upper pole of the right kidney. Based on the patient’s medical history, clinical and biochemical findings, a ruptured renal artery aneurysm was diagnosed. An urgent renal AE was considered the treatment of choice to limit hemorrhage and the risk of damage to the peritoneal dialysis catheter. The multidisciplinary team, including pediatric surgeons, interventional radiologists, pediatric nephrologists and psychologists agreed upon the choice to perform a bilateral renal AE in this complex patient. Prior to the intervention, and after being informed on the nature of the intervention, the patient and the patient’s parents gave their written consent to undergo endovascular treatment. Under general anesthesia, ultrasound-guided right femoral common artery access was gained using a Terumo 6 FR 11 cm catheter. A diagnostic plain angiography scan revealed a double right renal artery. The major artery was easily catheterized with a 6 FR C2 Mac Boston-Scientific 6 F (65 cm) catheter. Through this catheter, a AMplatzer Plug-2 10 mm was released achieving artery occlusion (about 1 cm from the ostium, ). A Sim1 Boston-Scientific 5 fr was positioned in the lower right renal artery and several Terumo Azur coils were released (). Upon completion of the intervention, angiography confirmed the complete embolization of the vessels (). The same procedure was used for the left renal embolization using a Cobra C2 catheter and Terumo 4x10 mm Azur coils (). With the final angiography, bilateral renal arterialthrombosis was confirmed (about 1 cm from the ostium, ). The first cm of the renal artery was preserved to facilitate clamping during the future nephrectomy. After the procedure, the patient was transferred to the pediatric intensive care unit of our institution for observation and subsequently to the pediatric nephrology unit. Vital signs were monitored; her postoperative course was uneventful. Two months later, the patient underwent a bilateral lumbotomy and bilateral extraperitoneal nephrectomy to protect the peritoneal surface area and dialysis adequacy. Grossly, both kidneys were enlarged (left 14.5x7x6 cm; right 15x5x5.5 cm); macroscopically the tissue was almost entirely replaced by cysts alternating with solid grey and brown areas, on a background of soft and yellowish tissue with calcific deposits. Histologically, solid areas on the yellowish background were revealed to be angiomyolipoma, which extended to the adipose tissue, perirenal and the renal pelvis. Partially solid aspects (epithelioid angiomyolipoma) and partially cystic aspects (cysts with cubic or hobnail epithelium) were observed. In the right kidney, other solid greyish areas were observed (maximum diameter 15 mm); these were classified as renal cell carcinomas (RCC), with acinar, papillary and alveolar growth patterns and cribiform aspects, Furhrman grade III (). The patient was discharged on the fourth day of hospitalization in stable clinical condition. Her clinical condition and laboratory tests were stable at 12 months follow-up. The patient undergoes continuous peritoneal dialysis.</t>
  </si>
  <si>
    <t>Based on the patient's data where the sex is Male, the age is 75 years, the Vascular disease history is yes, the CHA2DS2-VASc Score is 3.</t>
  </si>
  <si>
    <t>A 75-year-old man with persistent AF, a CHA2DS2 VASc score of 4 and a HAS-BLED score of 4 with recurrent gastrointestinal bleedings was referred to a tertiary clinic for a LAAC. His medical history consisted of a chronic obstructive pulmonary disease (COPD), coronary artery disease, and a two-thirds gastric resection performed in the 1980s. The intervention was successfully performed with an ABBOTT® Amulet 18 mm device being implanted (). After the implantation, he received acetylsalicylic acid (ASA) and Clopidogrel for 6 months. Approximately 5 months post-intervention, the patient expressed acute dyspnoea and called the emergency medical services (EMS). On arrival of the EMS, the patient was conscious, severely distressed and hypotensive with a blood pressure of 80/50 mmHg and a heart rate of 90/min. Peripheral oxygen saturation of 85% measured percutaneously was noted. After the administration of bronchodilator medication for a presumed COPD exacerbation, the patient’s clinical condition deteriorated with a resultant cardiac arrest with pulseless electrical activity. The patient received cardiopulmonary resuscitation including chest compressions, endotracheal intubation, and the administration of 3 mg Adrenaline. Return of spontaneous circulation occurred approximately 10 min later at which point he was transferred to a local hospital. During the transport, the cardiocirculatory parameters were relatively stable with a systolic pressure around 100 mmHg. The capnometry after return of spontaneous circulation measured a pCO2 of 60 mmHg. Upon arrival at the hospital, the physical examination showed jugular vein distension but no peripheral oedema. Echocardiography performed in the emergency department revealed a pericardial tamponade requiring pericardiocentesis via the subxiphoidal route, 800 mL of blood were initially evacuated. The differential diagnosis included primary respiratory failure or a sudden cardiac death with secondary pericardial effusion induced by cardiac compressions under double antiplatelet therapy, a ruptured aortic aneurysm, a myocardial rupture, or a primary laceration of a cardiac structure by the LAA occluder. A ruptured aneurysm of the ascending aorta was excluded by ultrasound. Electrocardiogram examination did not demonstrate any ST-segment elevation or low voltage. Blood gas analysis documented a stable respiratory situation with a pO2 of 230 mmHg and a pCO2 of 55 mmHg, the pH was 7, 3 and Lactate elevated with 10 mmol/L (&lt;2 mmol/L). The haemoglobin was measured at 9 g/dL (12–16 g/dL). The chest X-ray demonstrated the proper placement of the endotracheal and pericardial tube and ruled out a pneumothorax or pulmonary oedema. In the hours following pericardiocentesis, approximately 2 L of blood were evacuated. Conventional methods of coagulopathy management including application of tranexamic acid, fresh frozen plasma, and fibrinogen did not stop the bleeding. To stabilize the patient a total of eight packs of red blood cells were transfused. In preparation of cardiac surgery, a coronary angiogram was performed (). It revealed active leakage of contrast agent in the proximal circumflex artery and the patient was transferred to the cardiac surgery department immediately. Intra-operatively a perforation of the tissue at the basis of the LAA close to the left main coronary artery was discovered. Under protection of cold blood cardioplegia on cardiopulmonary bypass the occluder was excised through the opened left atrium. The LAA was closed by endocardial sutures and two pledget sutures were used to seal the epicardial lesion at the LAA basis which stopped the bleeding. Fortunately, after prolonged treatment in the intensive care unit and weaning ward the patient was discharged and alive 4 months after the event without neurological deficit and on ASA monotherapy. Transthoracic echocardiogram in the weaning ward ruled out a persistent pericardial effusion.</t>
  </si>
  <si>
    <t>Based on the patient's data where the Congestive Heart Failure criteria for the Cardiac Risk Index rule is no, the Pre-operative creatinine is 19.9 mg/dL, the History of ischemic heart disease is no, the age is 54 years, the Cardiac Risk Index Score is 2.</t>
  </si>
  <si>
    <t>A 54-year-old Caucasian man presented to his infectious disease physician in October 2014 with fatigue, nausea, and anorexia for the last 5 days that had been preceded by several episodes of bloody diarrhea of 10 days' duration. He denied abdominal pain, diminished urine output, or macroscopic hematuria. His past medical history was significant for HIV infection for 10 years with the most recent CD4 count of 180; current treatment consisted of Atazanavir, Emtricitabine, Tenofovir, and Ritonavir. He also had a history of chronic hepatitis C infection. He had a previous history of injection drug use that had been complicated by 2 episodes of infective endocarditis requiring a mechanical mitral valve replacement in 1997. Since that time, he had been treated with warfarin anticoagulation, INR 2.5–3.5. He admitted taking additional doses of warfarin when he had migraine headaches as he thought this would improve blood flow. On physical examination, he was afebrile with a supine blood pressure (BP) of 109/65 mmHg but with postural drop to 95/55 mmHg. His JVP was flat with no evidence of lower extremity edema. He did not have a skin rash or detectable heart murmur. The remainder of his examination was otherwise unremarkable. His laboratory data on admission are outlined in . His urinalysis was significant for 5–30 RBC/HPF and hyaline casts; no heme granular or red blood cell casts were seen. His urine albumin : creatinine ratio was 217 g/mol Cr. His creatinine which was 1.4 mg/dL in July 2014 had increased to 19.9 mg/dL. Abdominal ultrasonography showed normal-sized kidneys with slightly increased right renal parenchymal echogenicity. After fluid resuscitation failed to improve his acute kidney injury (AKI), he underwent hemodialysis for metabolic acidosis. Other investigations included (1) anemia work-up for a declining hemoglobin [11.1 g/dL to 6.6 g/dL after fluid resuscitation without evidence of bleeding or falling platelet count (137 × 109/L)] included blood film review which showed polychromasia without schistocytes, LDH 153 (N: 100–205 units), haptoglobin &lt; 0.08 (N: 0.3–2.0 units), total bilirubin of 43 (N: 3–17 units), direct bilirubin of 6 (N: 2–9 units), iron percent saturation 86 (N: 20–50), and ferritin 314 (N: 24–336), making TTP and HUS unlikely with the stable platelet count and absence of schistocytes on blood smear. Further investigations showed (1) a positive random urine for hemosiderin and (2) renal biopsy that showed severe acute tubular necrosis (ATN) caused by extensive renal hemosiderosis with extensive iron depositions in the tubules; the glomeruli were spared from deposition and damage (Figures and ). There was focal interstitial chronic inflammation, mild interstitial fibrosis, mild tubular atrophy, and mild-to-moderate arterial atherosclerosis. Immunofluorescent staining: IgG: Negative, IgA: negative, IgM: equivocal, complement (C3): equivocal, C1q: negative, albumin: negative, and Kappa/Lambda: negative. Special stains for iron show strong diffuse positivity in the tubules (). Electron microscopy showed segmental effacement of foot process with no evidence of electron dense deposits (). (3) Clostridium difficile toxin B was detected by PCR, (4) normal genetic testing for HFE (human hemochromatosis protein gene) mutation excluding hemochromatosis, negative flow cytometry for PNH (paroxysmal nocturnal hemoglobinuria), a normal glucose-6-phosphate dehydrogenase screen (excluding hemolysis secondary to G6PD deficiency anemia), and (5) transesophageal echocardiogram which showed that the prosthetic mitral valve is functioning well without evidence of paravalvular leak or mitral valve regurgitation The patient stabilized in hospital with treatment of his AKI and Clostridium difficile infection. He remained on 3-times-per-week hemodialysis for ten weeks when his AKI recovered and his central venous catheter was removed.</t>
  </si>
  <si>
    <t>Based on the patient's data where the Glucose is 165.0 mg/dL, the Insulin is 4.8 µIU/mL, the HOMA-IR Score is 2.329.</t>
  </si>
  <si>
    <t>Evelyn - failed parameter extraction</t>
  </si>
  <si>
    <t xml:space="preserve">Evelyn - verification logic errors </t>
  </si>
  <si>
    <t>Evelyn - incorrect formula &amp; criteria application</t>
  </si>
  <si>
    <t>Evelyn - computation errors</t>
  </si>
  <si>
    <t>Evelyn - omitting the calculation process or result</t>
  </si>
  <si>
    <t>Evelyn - other errors</t>
  </si>
  <si>
    <t>WT - verification logic errors</t>
  </si>
  <si>
    <t>WT - failed parameter extraction</t>
  </si>
  <si>
    <t>WT -incorrect formula &amp; criteria application</t>
  </si>
  <si>
    <t>WT - computation errors</t>
  </si>
  <si>
    <t>WT - omitting the calculation process or result</t>
  </si>
  <si>
    <t>WT - other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</si>
</sst>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0"/>
      <color rgb="FF000000"/>
      <name val="Arial"/>
      <charset val="134"/>
      <scheme val="minor"/>
    </font>
    <font>
      <sz val="10"/>
      <color theme="1"/>
      <name val="Arial"/>
      <family val="2"/>
      <scheme val="minor"/>
    </font>
    <font>
      <b/>
      <sz val="10"/>
      <color theme="1"/>
      <name val="Arial"/>
      <family val="2"/>
      <scheme val="minor"/>
    </font>
    <font>
      <sz val="10"/>
      <name val="Arial"/>
      <family val="2"/>
      <scheme val="minor"/>
    </font>
    <font>
      <b/>
      <sz val="10"/>
      <color rgb="FF000000"/>
      <name val="Arial"/>
      <family val="2"/>
      <scheme val="minor"/>
    </font>
    <font>
      <b/>
      <sz val="10"/>
      <name val="Arial"/>
      <family val="2"/>
      <scheme val="minor"/>
    </font>
    <font>
      <b/>
      <sz val="10"/>
      <color rgb="FF7030A0"/>
      <name val="Arial"/>
      <family val="2"/>
      <scheme val="minor"/>
    </font>
  </fonts>
  <fills count="21">
    <fill>
      <patternFill patternType="none"/>
    </fill>
    <fill>
      <patternFill patternType="gray125"/>
    </fill>
    <fill>
      <patternFill patternType="solid">
        <fgColor rgb="FFB6D7A8"/>
        <bgColor rgb="FFB6D7A8"/>
      </patternFill>
    </fill>
    <fill>
      <patternFill patternType="solid">
        <fgColor rgb="FFD9EAD3"/>
        <bgColor rgb="FFD9EAD3"/>
      </patternFill>
    </fill>
    <fill>
      <patternFill patternType="solid">
        <fgColor rgb="FFFFE599"/>
        <bgColor rgb="FFFFE599"/>
      </patternFill>
    </fill>
    <fill>
      <patternFill patternType="solid">
        <fgColor rgb="FFF9CB9C"/>
        <bgColor rgb="FFF9CB9C"/>
      </patternFill>
    </fill>
    <fill>
      <patternFill patternType="solid">
        <fgColor rgb="FFCCCCCC"/>
        <bgColor rgb="FFCCCCCC"/>
      </patternFill>
    </fill>
    <fill>
      <patternFill patternType="solid">
        <fgColor rgb="FF9FC5E8"/>
        <bgColor rgb="FF9FC5E8"/>
      </patternFill>
    </fill>
    <fill>
      <patternFill patternType="solid">
        <fgColor rgb="FFB4A7D6"/>
        <bgColor rgb="FFB4A7D6"/>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theme="6" tint="0.59999389629810485"/>
        <bgColor rgb="FFFFE599"/>
      </patternFill>
    </fill>
    <fill>
      <patternFill patternType="solid">
        <fgColor theme="6" tint="0.59999389629810485"/>
        <bgColor rgb="FFFFF2CC"/>
      </patternFill>
    </fill>
    <fill>
      <patternFill patternType="solid">
        <fgColor theme="6" tint="0.59999389629810485"/>
        <bgColor indexed="64"/>
      </patternFill>
    </fill>
    <fill>
      <patternFill patternType="solid">
        <fgColor rgb="FFB7D7A8"/>
        <bgColor rgb="FFB6D7A8"/>
      </patternFill>
    </fill>
    <fill>
      <patternFill patternType="solid">
        <fgColor rgb="FFB7D7A8"/>
        <bgColor rgb="FFD9EAD3"/>
      </patternFill>
    </fill>
    <fill>
      <patternFill patternType="solid">
        <fgColor rgb="FFB7D7A8"/>
        <bgColor indexed="64"/>
      </patternFill>
    </fill>
  </fills>
  <borders count="1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101">
    <xf numFmtId="0" fontId="0" fillId="0" borderId="0" xfId="0"/>
    <xf numFmtId="0" fontId="1" fillId="0" borderId="0" xfId="0" applyFont="1"/>
    <xf numFmtId="0" fontId="2" fillId="5" borderId="0" xfId="0" applyFont="1" applyFill="1"/>
    <xf numFmtId="0" fontId="2" fillId="6" borderId="0" xfId="0" applyFont="1" applyFill="1"/>
    <xf numFmtId="0" fontId="2" fillId="7" borderId="0" xfId="0" applyFont="1" applyFill="1"/>
    <xf numFmtId="0" fontId="2" fillId="8" borderId="0" xfId="0" applyFont="1" applyFill="1"/>
    <xf numFmtId="0" fontId="2" fillId="9" borderId="0" xfId="0" applyFont="1" applyFill="1"/>
    <xf numFmtId="0" fontId="1" fillId="11" borderId="0" xfId="0" applyFont="1" applyFill="1"/>
    <xf numFmtId="0" fontId="1" fillId="12" borderId="0" xfId="0" applyFont="1" applyFill="1"/>
    <xf numFmtId="0" fontId="1" fillId="13" borderId="0" xfId="0" applyFont="1" applyFill="1"/>
    <xf numFmtId="0" fontId="1" fillId="14" borderId="0" xfId="0" applyFont="1" applyFill="1"/>
    <xf numFmtId="0" fontId="2" fillId="9" borderId="0" xfId="0" applyFont="1" applyFill="1" applyAlignment="1">
      <alignment horizontal="center"/>
    </xf>
    <xf numFmtId="0" fontId="0" fillId="11" borderId="0" xfId="0" applyFill="1"/>
    <xf numFmtId="0" fontId="0" fillId="12" borderId="0" xfId="0" applyFill="1"/>
    <xf numFmtId="0" fontId="0" fillId="13" borderId="0" xfId="0" applyFill="1"/>
    <xf numFmtId="0" fontId="0" fillId="14" borderId="0" xfId="0" applyFill="1"/>
    <xf numFmtId="0" fontId="0" fillId="9" borderId="0" xfId="0" applyFill="1" applyAlignment="1">
      <alignment horizontal="center"/>
    </xf>
    <xf numFmtId="0" fontId="4" fillId="9" borderId="0" xfId="0" applyFont="1" applyFill="1" applyAlignment="1">
      <alignment horizontal="center"/>
    </xf>
    <xf numFmtId="0" fontId="3" fillId="11" borderId="0" xfId="0" applyFont="1" applyFill="1"/>
    <xf numFmtId="0" fontId="3" fillId="12" borderId="0" xfId="0" applyFont="1" applyFill="1"/>
    <xf numFmtId="0" fontId="3" fillId="13" borderId="0" xfId="0" applyFont="1" applyFill="1"/>
    <xf numFmtId="0" fontId="5" fillId="9" borderId="0" xfId="0" applyFont="1" applyFill="1" applyAlignment="1">
      <alignment horizontal="center"/>
    </xf>
    <xf numFmtId="0" fontId="1" fillId="9" borderId="0" xfId="0" applyFont="1" applyFill="1"/>
    <xf numFmtId="0" fontId="2" fillId="15" borderId="0" xfId="0" applyFont="1" applyFill="1"/>
    <xf numFmtId="0" fontId="1" fillId="16" borderId="0" xfId="0" applyFont="1" applyFill="1"/>
    <xf numFmtId="0" fontId="0" fillId="16" borderId="0" xfId="0" applyFill="1"/>
    <xf numFmtId="0" fontId="3" fillId="16" borderId="0" xfId="0" applyFont="1" applyFill="1"/>
    <xf numFmtId="0" fontId="1" fillId="17" borderId="0" xfId="0" applyFont="1" applyFill="1"/>
    <xf numFmtId="0" fontId="0" fillId="17" borderId="0" xfId="0" applyFill="1"/>
    <xf numFmtId="0" fontId="6" fillId="2" borderId="0" xfId="0" applyFont="1" applyFill="1"/>
    <xf numFmtId="0" fontId="6" fillId="4" borderId="0" xfId="0" applyFont="1" applyFill="1"/>
    <xf numFmtId="0" fontId="6" fillId="5" borderId="0" xfId="0" applyFont="1" applyFill="1"/>
    <xf numFmtId="0" fontId="6" fillId="6" borderId="0" xfId="0" applyFont="1" applyFill="1"/>
    <xf numFmtId="0" fontId="6" fillId="7" borderId="0" xfId="0" applyFont="1" applyFill="1"/>
    <xf numFmtId="0" fontId="6" fillId="8" borderId="0" xfId="0" applyFont="1" applyFill="1"/>
    <xf numFmtId="0" fontId="2" fillId="18" borderId="0" xfId="0" applyFont="1" applyFill="1"/>
    <xf numFmtId="0" fontId="1" fillId="19" borderId="0" xfId="0" applyFont="1" applyFill="1"/>
    <xf numFmtId="0" fontId="0" fillId="19" borderId="0" xfId="0" applyFill="1"/>
    <xf numFmtId="0" fontId="3" fillId="19" borderId="0" xfId="0" applyFont="1" applyFill="1"/>
    <xf numFmtId="0" fontId="1" fillId="20" borderId="0" xfId="0" applyFont="1" applyFill="1"/>
    <xf numFmtId="0" fontId="0" fillId="20" borderId="0" xfId="0" applyFill="1"/>
    <xf numFmtId="0" fontId="6" fillId="3" borderId="0" xfId="0" applyFont="1" applyFill="1"/>
    <xf numFmtId="0" fontId="6" fillId="0" borderId="0" xfId="0" applyFont="1"/>
    <xf numFmtId="0" fontId="6" fillId="10" borderId="0" xfId="0" applyFont="1" applyFill="1"/>
    <xf numFmtId="0" fontId="6" fillId="11" borderId="0" xfId="0" applyFont="1" applyFill="1"/>
    <xf numFmtId="0" fontId="6" fillId="12" borderId="0" xfId="0" applyFont="1" applyFill="1"/>
    <xf numFmtId="0" fontId="6" fillId="13" borderId="0" xfId="0" applyFont="1" applyFill="1"/>
    <xf numFmtId="0" fontId="6" fillId="14" borderId="0" xfId="0" applyFont="1" applyFill="1"/>
    <xf numFmtId="0" fontId="6" fillId="3" borderId="1" xfId="0" applyFont="1" applyFill="1" applyBorder="1"/>
    <xf numFmtId="0" fontId="1" fillId="19" borderId="2" xfId="0" applyFont="1" applyFill="1" applyBorder="1"/>
    <xf numFmtId="0" fontId="6" fillId="3" borderId="3" xfId="0" applyFont="1" applyFill="1" applyBorder="1"/>
    <xf numFmtId="0" fontId="6" fillId="3" borderId="5" xfId="0" applyFont="1" applyFill="1" applyBorder="1"/>
    <xf numFmtId="0" fontId="0" fillId="19" borderId="4" xfId="0" applyFill="1" applyBorder="1"/>
    <xf numFmtId="0" fontId="6" fillId="3" borderId="7" xfId="0" applyFont="1" applyFill="1" applyBorder="1"/>
    <xf numFmtId="0" fontId="6" fillId="11" borderId="1" xfId="0" applyFont="1" applyFill="1" applyBorder="1"/>
    <xf numFmtId="0" fontId="1" fillId="11" borderId="2" xfId="0" applyFont="1" applyFill="1" applyBorder="1"/>
    <xf numFmtId="0" fontId="6" fillId="11" borderId="5" xfId="0" applyFont="1" applyFill="1" applyBorder="1"/>
    <xf numFmtId="0" fontId="1" fillId="11" borderId="6" xfId="0" applyFont="1" applyFill="1" applyBorder="1"/>
    <xf numFmtId="0" fontId="6" fillId="11" borderId="3" xfId="0" applyFont="1" applyFill="1" applyBorder="1"/>
    <xf numFmtId="0" fontId="0" fillId="11" borderId="4" xfId="0" applyFill="1" applyBorder="1"/>
    <xf numFmtId="0" fontId="0" fillId="11" borderId="2" xfId="0" applyFill="1" applyBorder="1"/>
    <xf numFmtId="0" fontId="0" fillId="11" borderId="6" xfId="0" applyFill="1" applyBorder="1"/>
    <xf numFmtId="0" fontId="6" fillId="11" borderId="7" xfId="0" applyFont="1" applyFill="1" applyBorder="1"/>
    <xf numFmtId="0" fontId="0" fillId="11" borderId="8" xfId="0" applyFill="1" applyBorder="1"/>
    <xf numFmtId="0" fontId="6" fillId="12" borderId="7" xfId="0" applyFont="1" applyFill="1" applyBorder="1"/>
    <xf numFmtId="0" fontId="0" fillId="12" borderId="8" xfId="0" applyFill="1" applyBorder="1"/>
    <xf numFmtId="0" fontId="6" fillId="12" borderId="1" xfId="0" applyFont="1" applyFill="1" applyBorder="1"/>
    <xf numFmtId="0" fontId="0" fillId="12" borderId="2" xfId="0" applyFill="1" applyBorder="1"/>
    <xf numFmtId="0" fontId="6" fillId="12" borderId="3" xfId="0" applyFont="1" applyFill="1" applyBorder="1"/>
    <xf numFmtId="0" fontId="0" fillId="12" borderId="4" xfId="0" applyFill="1" applyBorder="1"/>
    <xf numFmtId="0" fontId="0" fillId="11" borderId="9" xfId="0" applyFill="1" applyBorder="1"/>
    <xf numFmtId="0" fontId="6" fillId="12" borderId="5" xfId="0" applyFont="1" applyFill="1" applyBorder="1"/>
    <xf numFmtId="0" fontId="0" fillId="12" borderId="6" xfId="0" applyFill="1" applyBorder="1"/>
    <xf numFmtId="0" fontId="6" fillId="13" borderId="7" xfId="0" applyFont="1" applyFill="1" applyBorder="1"/>
    <xf numFmtId="0" fontId="1" fillId="13" borderId="8" xfId="0" applyFont="1" applyFill="1" applyBorder="1"/>
    <xf numFmtId="0" fontId="0" fillId="13" borderId="8" xfId="0" applyFill="1" applyBorder="1"/>
    <xf numFmtId="0" fontId="6" fillId="13" borderId="1" xfId="0" applyFont="1" applyFill="1" applyBorder="1"/>
    <xf numFmtId="0" fontId="0" fillId="13" borderId="2" xfId="0" applyFill="1" applyBorder="1"/>
    <xf numFmtId="0" fontId="6" fillId="13" borderId="3" xfId="0" applyFont="1" applyFill="1" applyBorder="1"/>
    <xf numFmtId="0" fontId="0" fillId="13" borderId="4" xfId="0" applyFill="1" applyBorder="1"/>
    <xf numFmtId="0" fontId="6" fillId="14" borderId="7" xfId="0" applyFont="1" applyFill="1" applyBorder="1"/>
    <xf numFmtId="0" fontId="3" fillId="14" borderId="8" xfId="0" applyFont="1" applyFill="1" applyBorder="1"/>
    <xf numFmtId="0" fontId="1" fillId="19" borderId="10" xfId="0" applyFont="1" applyFill="1" applyBorder="1"/>
    <xf numFmtId="0" fontId="6" fillId="10" borderId="1" xfId="0" applyFont="1" applyFill="1" applyBorder="1"/>
    <xf numFmtId="0" fontId="1" fillId="16" borderId="2" xfId="0" applyFont="1" applyFill="1" applyBorder="1"/>
    <xf numFmtId="0" fontId="6" fillId="10" borderId="3" xfId="0" applyFont="1" applyFill="1" applyBorder="1"/>
    <xf numFmtId="0" fontId="1" fillId="16" borderId="4" xfId="0" applyFont="1" applyFill="1" applyBorder="1"/>
    <xf numFmtId="0" fontId="6" fillId="11" borderId="10" xfId="0" applyFont="1" applyFill="1" applyBorder="1"/>
    <xf numFmtId="0" fontId="6" fillId="11" borderId="9" xfId="0" applyFont="1" applyFill="1" applyBorder="1"/>
    <xf numFmtId="0" fontId="6" fillId="11" borderId="11" xfId="0" applyFont="1" applyFill="1" applyBorder="1"/>
    <xf numFmtId="0" fontId="0" fillId="16" borderId="2" xfId="0" applyFill="1" applyBorder="1"/>
    <xf numFmtId="0" fontId="6" fillId="10" borderId="5" xfId="0" applyFont="1" applyFill="1" applyBorder="1"/>
    <xf numFmtId="0" fontId="0" fillId="16" borderId="6" xfId="0" applyFill="1" applyBorder="1"/>
    <xf numFmtId="0" fontId="0" fillId="16" borderId="4" xfId="0" applyFill="1" applyBorder="1"/>
    <xf numFmtId="0" fontId="6" fillId="10" borderId="7" xfId="0" applyFont="1" applyFill="1" applyBorder="1"/>
    <xf numFmtId="0" fontId="0" fillId="16" borderId="8" xfId="0" applyFill="1" applyBorder="1"/>
    <xf numFmtId="0" fontId="0" fillId="19" borderId="9" xfId="0" applyFill="1" applyBorder="1"/>
    <xf numFmtId="0" fontId="0" fillId="19" borderId="11" xfId="0" applyFill="1" applyBorder="1"/>
    <xf numFmtId="0" fontId="2" fillId="10" borderId="5" xfId="0" applyFont="1" applyFill="1" applyBorder="1"/>
    <xf numFmtId="0" fontId="2" fillId="10" borderId="3" xfId="0" applyFont="1" applyFill="1" applyBorder="1"/>
    <xf numFmtId="0" fontId="2" fillId="10" borderId="1" xfId="0" applyFont="1" applyFill="1" applyBorder="1"/>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B7D7A8"/>
      <color rgb="FFD9EA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52"/>
  <sheetViews>
    <sheetView tabSelected="1" topLeftCell="B1" workbookViewId="0">
      <selection activeCell="F16" sqref="F16"/>
    </sheetView>
  </sheetViews>
  <sheetFormatPr baseColWidth="10" defaultColWidth="12.6640625" defaultRowHeight="15.75" customHeight="1" x14ac:dyDescent="0.15"/>
  <cols>
    <col min="1" max="1" width="5.83203125" customWidth="1"/>
    <col min="2" max="5" width="12.6640625" customWidth="1"/>
    <col min="6" max="6" width="16.1640625" style="42" customWidth="1"/>
    <col min="7" max="7" width="16.1640625" style="40" customWidth="1"/>
    <col min="8" max="8" width="16.1640625" style="42" customWidth="1"/>
    <col min="9" max="9" width="16.1640625" style="28" customWidth="1"/>
    <col min="10" max="10" width="16.33203125" style="42" customWidth="1"/>
    <col min="11" max="11" width="16.6640625" customWidth="1"/>
    <col min="12" max="12" width="16.1640625" style="42" customWidth="1"/>
    <col min="13" max="13" width="16.6640625" customWidth="1"/>
    <col min="14" max="14" width="16.1640625" style="42" customWidth="1"/>
    <col min="15" max="15" width="19.83203125" customWidth="1"/>
    <col min="16" max="16" width="16.1640625" style="42" customWidth="1"/>
    <col min="17" max="17" width="21.83203125" customWidth="1"/>
    <col min="18" max="18" width="14.1640625" customWidth="1"/>
    <col min="19" max="19" width="26.1640625" customWidth="1"/>
  </cols>
  <sheetData>
    <row r="1" spans="1:18" ht="15.75" customHeight="1" x14ac:dyDescent="0.15">
      <c r="A1" s="1" t="s">
        <v>0</v>
      </c>
      <c r="B1" s="1" t="s">
        <v>1</v>
      </c>
      <c r="C1" s="1" t="s">
        <v>2</v>
      </c>
      <c r="D1" s="1" t="s">
        <v>3</v>
      </c>
      <c r="E1" s="1" t="s">
        <v>4</v>
      </c>
      <c r="F1" s="29" t="s">
        <v>106</v>
      </c>
      <c r="G1" s="35" t="s">
        <v>113</v>
      </c>
      <c r="H1" s="30" t="s">
        <v>107</v>
      </c>
      <c r="I1" s="23" t="s">
        <v>112</v>
      </c>
      <c r="J1" s="31" t="s">
        <v>108</v>
      </c>
      <c r="K1" s="2" t="s">
        <v>114</v>
      </c>
      <c r="L1" s="32" t="s">
        <v>109</v>
      </c>
      <c r="M1" s="3" t="s">
        <v>115</v>
      </c>
      <c r="N1" s="33" t="s">
        <v>110</v>
      </c>
      <c r="O1" s="4" t="s">
        <v>116</v>
      </c>
      <c r="P1" s="34" t="s">
        <v>111</v>
      </c>
      <c r="Q1" s="5" t="s">
        <v>117</v>
      </c>
      <c r="R1" s="6"/>
    </row>
    <row r="2" spans="1:18" ht="15.75" customHeight="1" x14ac:dyDescent="0.15">
      <c r="A2" s="1">
        <v>77</v>
      </c>
      <c r="B2" s="1" t="s">
        <v>5</v>
      </c>
      <c r="C2" s="1" t="b">
        <v>0</v>
      </c>
      <c r="D2" s="1" t="s">
        <v>6</v>
      </c>
      <c r="E2" s="1" t="s">
        <v>7</v>
      </c>
      <c r="F2" s="48">
        <v>1</v>
      </c>
      <c r="G2" s="49">
        <v>1</v>
      </c>
      <c r="H2" s="43">
        <v>0</v>
      </c>
      <c r="I2" s="24">
        <v>0</v>
      </c>
      <c r="J2" s="44">
        <v>0</v>
      </c>
      <c r="K2" s="7">
        <v>0</v>
      </c>
      <c r="L2" s="45">
        <v>0</v>
      </c>
      <c r="M2" s="8">
        <v>0</v>
      </c>
      <c r="N2" s="73">
        <v>1</v>
      </c>
      <c r="O2" s="74">
        <v>1</v>
      </c>
      <c r="P2" s="47">
        <v>0</v>
      </c>
      <c r="Q2" s="10">
        <v>0</v>
      </c>
      <c r="R2" s="11">
        <v>1</v>
      </c>
    </row>
    <row r="3" spans="1:18" ht="15.75" customHeight="1" x14ac:dyDescent="0.15">
      <c r="A3" s="1">
        <v>44</v>
      </c>
      <c r="B3" s="1" t="s">
        <v>5</v>
      </c>
      <c r="C3" s="1" t="b">
        <v>0</v>
      </c>
      <c r="D3" s="1" t="s">
        <v>8</v>
      </c>
      <c r="E3" s="1" t="s">
        <v>9</v>
      </c>
      <c r="F3" s="50">
        <v>1</v>
      </c>
      <c r="G3" s="82">
        <v>1</v>
      </c>
      <c r="H3" s="83">
        <v>1</v>
      </c>
      <c r="I3" s="84">
        <v>1</v>
      </c>
      <c r="J3" s="54">
        <v>1</v>
      </c>
      <c r="K3" s="55">
        <v>1</v>
      </c>
      <c r="L3" s="45">
        <v>0</v>
      </c>
      <c r="M3" s="8">
        <v>0</v>
      </c>
      <c r="N3" s="46">
        <v>0</v>
      </c>
      <c r="O3" s="9">
        <v>0</v>
      </c>
      <c r="P3" s="47">
        <v>0</v>
      </c>
      <c r="Q3" s="10">
        <v>0</v>
      </c>
      <c r="R3" s="11">
        <v>2</v>
      </c>
    </row>
    <row r="4" spans="1:18" ht="15.75" customHeight="1" x14ac:dyDescent="0.15">
      <c r="A4" s="1">
        <v>98</v>
      </c>
      <c r="B4" s="1" t="s">
        <v>5</v>
      </c>
      <c r="C4" s="1" t="b">
        <v>0</v>
      </c>
      <c r="D4" s="1" t="s">
        <v>10</v>
      </c>
      <c r="E4" s="1" t="s">
        <v>11</v>
      </c>
      <c r="F4" s="41">
        <v>0</v>
      </c>
      <c r="G4" s="36">
        <v>0</v>
      </c>
      <c r="H4" s="85">
        <v>1</v>
      </c>
      <c r="I4" s="86">
        <v>1</v>
      </c>
      <c r="J4" s="56">
        <v>1</v>
      </c>
      <c r="K4" s="57">
        <v>1</v>
      </c>
      <c r="L4" s="45">
        <v>0</v>
      </c>
      <c r="M4" s="8">
        <v>0</v>
      </c>
      <c r="N4" s="46">
        <v>0</v>
      </c>
      <c r="O4" s="9">
        <v>0</v>
      </c>
      <c r="P4" s="47">
        <v>0</v>
      </c>
      <c r="Q4" s="10">
        <v>0</v>
      </c>
      <c r="R4" s="11">
        <v>3</v>
      </c>
    </row>
    <row r="5" spans="1:18" ht="15.75" customHeight="1" x14ac:dyDescent="0.15">
      <c r="A5" s="1">
        <v>123</v>
      </c>
      <c r="B5" s="1" t="b">
        <v>1</v>
      </c>
      <c r="C5" s="1" t="s">
        <v>5</v>
      </c>
      <c r="D5" s="1" t="s">
        <v>12</v>
      </c>
      <c r="E5" s="1" t="s">
        <v>13</v>
      </c>
      <c r="F5" s="41">
        <v>0</v>
      </c>
      <c r="G5" s="37">
        <v>0</v>
      </c>
      <c r="H5" s="43">
        <v>0</v>
      </c>
      <c r="I5" s="25">
        <v>0</v>
      </c>
      <c r="J5" s="58">
        <v>1</v>
      </c>
      <c r="K5" s="59">
        <v>1</v>
      </c>
      <c r="L5" s="64">
        <v>1</v>
      </c>
      <c r="M5" s="65">
        <v>1</v>
      </c>
      <c r="N5" s="46">
        <v>0</v>
      </c>
      <c r="O5" s="14">
        <v>0</v>
      </c>
      <c r="P5" s="47">
        <v>0</v>
      </c>
      <c r="Q5" s="15">
        <v>0</v>
      </c>
      <c r="R5" s="16">
        <v>4</v>
      </c>
    </row>
    <row r="6" spans="1:18" ht="15.75" customHeight="1" x14ac:dyDescent="0.15">
      <c r="A6" s="1">
        <v>2</v>
      </c>
      <c r="B6" s="1" t="s">
        <v>5</v>
      </c>
      <c r="C6" s="1" t="b">
        <v>1</v>
      </c>
      <c r="D6" s="1" t="s">
        <v>14</v>
      </c>
      <c r="E6" s="1" t="s">
        <v>15</v>
      </c>
      <c r="F6" s="41">
        <v>0</v>
      </c>
      <c r="G6" s="37">
        <v>0</v>
      </c>
      <c r="H6" s="43">
        <v>1</v>
      </c>
      <c r="I6" s="25">
        <v>0</v>
      </c>
      <c r="J6" s="44">
        <v>0</v>
      </c>
      <c r="K6" s="12">
        <v>0</v>
      </c>
      <c r="L6" s="45">
        <v>0</v>
      </c>
      <c r="M6" s="13">
        <v>0</v>
      </c>
      <c r="N6" s="73">
        <v>1</v>
      </c>
      <c r="O6" s="75">
        <v>1</v>
      </c>
      <c r="P6" s="47">
        <v>0</v>
      </c>
      <c r="Q6" s="10">
        <v>0</v>
      </c>
      <c r="R6" s="17">
        <v>5</v>
      </c>
    </row>
    <row r="7" spans="1:18" ht="15.75" customHeight="1" x14ac:dyDescent="0.15">
      <c r="A7" s="1">
        <v>53</v>
      </c>
      <c r="B7" s="1" t="s">
        <v>5</v>
      </c>
      <c r="C7" s="1" t="b">
        <v>1</v>
      </c>
      <c r="D7" s="1" t="s">
        <v>16</v>
      </c>
      <c r="E7" s="1" t="s">
        <v>17</v>
      </c>
      <c r="F7" s="41">
        <v>0</v>
      </c>
      <c r="G7" s="37">
        <v>1</v>
      </c>
      <c r="H7" s="43">
        <v>0</v>
      </c>
      <c r="I7" s="25">
        <v>0</v>
      </c>
      <c r="J7" s="54">
        <v>1</v>
      </c>
      <c r="K7" s="60">
        <v>1</v>
      </c>
      <c r="L7" s="66">
        <v>1</v>
      </c>
      <c r="M7" s="67">
        <v>1</v>
      </c>
      <c r="N7" s="46">
        <v>0</v>
      </c>
      <c r="O7" s="14">
        <v>0</v>
      </c>
      <c r="P7" s="47">
        <v>0</v>
      </c>
      <c r="Q7" s="10">
        <v>0</v>
      </c>
      <c r="R7" s="17">
        <v>6</v>
      </c>
    </row>
    <row r="8" spans="1:18" ht="15.75" customHeight="1" x14ac:dyDescent="0.15">
      <c r="A8" s="1">
        <v>75</v>
      </c>
      <c r="B8" s="1" t="b">
        <v>1</v>
      </c>
      <c r="C8" s="1" t="b">
        <v>0</v>
      </c>
      <c r="D8" s="1" t="s">
        <v>18</v>
      </c>
      <c r="E8" s="1" t="s">
        <v>19</v>
      </c>
      <c r="F8" s="41">
        <v>0</v>
      </c>
      <c r="G8" s="37">
        <v>0</v>
      </c>
      <c r="H8" s="83">
        <v>1</v>
      </c>
      <c r="I8" s="90">
        <v>1</v>
      </c>
      <c r="J8" s="87">
        <v>1</v>
      </c>
      <c r="K8" s="59">
        <v>1</v>
      </c>
      <c r="L8" s="68">
        <v>1</v>
      </c>
      <c r="M8" s="69">
        <v>1</v>
      </c>
      <c r="N8" s="46">
        <v>0</v>
      </c>
      <c r="O8" s="14">
        <v>0</v>
      </c>
      <c r="P8" s="47">
        <v>0</v>
      </c>
      <c r="Q8" s="10">
        <v>0</v>
      </c>
      <c r="R8" s="17">
        <v>7</v>
      </c>
    </row>
    <row r="9" spans="1:18" ht="15.75" customHeight="1" x14ac:dyDescent="0.15">
      <c r="A9" s="1">
        <v>118</v>
      </c>
      <c r="B9" s="1" t="b">
        <v>0</v>
      </c>
      <c r="C9" s="1" t="s">
        <v>5</v>
      </c>
      <c r="D9" s="1" t="s">
        <v>20</v>
      </c>
      <c r="E9" s="1" t="s">
        <v>21</v>
      </c>
      <c r="F9" s="41">
        <v>1</v>
      </c>
      <c r="G9" s="37">
        <v>0</v>
      </c>
      <c r="H9" s="99">
        <v>1</v>
      </c>
      <c r="I9" s="93">
        <v>1</v>
      </c>
      <c r="J9" s="44">
        <v>0</v>
      </c>
      <c r="K9" s="12">
        <v>0</v>
      </c>
      <c r="L9" s="45">
        <v>0</v>
      </c>
      <c r="M9" s="13">
        <v>0</v>
      </c>
      <c r="N9" s="73">
        <v>1</v>
      </c>
      <c r="O9" s="75">
        <v>1</v>
      </c>
      <c r="P9" s="47">
        <v>0</v>
      </c>
      <c r="Q9" s="15">
        <v>0</v>
      </c>
      <c r="R9" s="17">
        <v>8</v>
      </c>
    </row>
    <row r="10" spans="1:18" ht="15.75" customHeight="1" x14ac:dyDescent="0.15">
      <c r="A10" s="1">
        <v>26</v>
      </c>
      <c r="B10" s="1" t="s">
        <v>5</v>
      </c>
      <c r="C10" s="1" t="b">
        <v>0</v>
      </c>
      <c r="D10" s="1" t="s">
        <v>22</v>
      </c>
      <c r="E10" s="1" t="s">
        <v>23</v>
      </c>
      <c r="F10" s="41">
        <v>0</v>
      </c>
      <c r="G10" s="37">
        <v>0</v>
      </c>
      <c r="H10" s="98">
        <v>0</v>
      </c>
      <c r="I10" s="92">
        <v>1</v>
      </c>
      <c r="J10" s="88">
        <v>1</v>
      </c>
      <c r="K10" s="60">
        <v>1</v>
      </c>
      <c r="L10" s="45">
        <v>1</v>
      </c>
      <c r="M10" s="13">
        <v>0</v>
      </c>
      <c r="N10" s="46">
        <v>0</v>
      </c>
      <c r="O10" s="14">
        <v>0</v>
      </c>
      <c r="P10" s="47">
        <v>0</v>
      </c>
      <c r="Q10" s="10">
        <v>0</v>
      </c>
      <c r="R10" s="17">
        <v>9</v>
      </c>
    </row>
    <row r="11" spans="1:18" ht="15.75" customHeight="1" x14ac:dyDescent="0.15">
      <c r="A11" s="1">
        <v>83</v>
      </c>
      <c r="B11" s="1" t="s">
        <v>5</v>
      </c>
      <c r="C11" s="1" t="b">
        <v>0</v>
      </c>
      <c r="D11" s="1" t="s">
        <v>24</v>
      </c>
      <c r="E11" s="1" t="s">
        <v>25</v>
      </c>
      <c r="F11" s="41">
        <v>0</v>
      </c>
      <c r="G11" s="37">
        <v>1</v>
      </c>
      <c r="H11" s="83">
        <v>1</v>
      </c>
      <c r="I11" s="90">
        <v>1</v>
      </c>
      <c r="J11" s="44">
        <v>1</v>
      </c>
      <c r="K11" s="61">
        <v>1</v>
      </c>
      <c r="L11" s="64">
        <v>1</v>
      </c>
      <c r="M11" s="65">
        <v>1</v>
      </c>
      <c r="N11" s="46">
        <v>0</v>
      </c>
      <c r="O11" s="14">
        <v>0</v>
      </c>
      <c r="P11" s="47">
        <v>0</v>
      </c>
      <c r="Q11" s="10">
        <v>0</v>
      </c>
      <c r="R11" s="17">
        <v>10</v>
      </c>
    </row>
    <row r="12" spans="1:18" ht="15.75" customHeight="1" x14ac:dyDescent="0.15">
      <c r="A12" s="1">
        <v>141</v>
      </c>
      <c r="B12" s="1" t="b">
        <v>1</v>
      </c>
      <c r="C12" s="1" t="b">
        <v>0</v>
      </c>
      <c r="D12" s="1" t="s">
        <v>26</v>
      </c>
      <c r="E12" s="1" t="s">
        <v>27</v>
      </c>
      <c r="F12" s="41">
        <v>0</v>
      </c>
      <c r="G12" s="37">
        <v>0</v>
      </c>
      <c r="H12" s="91">
        <v>1</v>
      </c>
      <c r="I12" s="92">
        <v>1</v>
      </c>
      <c r="J12" s="87">
        <v>1</v>
      </c>
      <c r="K12" s="59">
        <v>1</v>
      </c>
      <c r="L12" s="45">
        <v>0</v>
      </c>
      <c r="M12" s="13">
        <v>0</v>
      </c>
      <c r="N12" s="46">
        <v>0</v>
      </c>
      <c r="O12" s="14">
        <v>0</v>
      </c>
      <c r="P12" s="47">
        <v>0</v>
      </c>
      <c r="Q12" s="10">
        <v>0</v>
      </c>
      <c r="R12" s="17">
        <v>11</v>
      </c>
    </row>
    <row r="13" spans="1:18" ht="15.75" customHeight="1" x14ac:dyDescent="0.15">
      <c r="A13" s="1">
        <v>69</v>
      </c>
      <c r="B13" s="1" t="b">
        <v>1</v>
      </c>
      <c r="C13" s="1" t="s">
        <v>5</v>
      </c>
      <c r="D13" s="1" t="s">
        <v>28</v>
      </c>
      <c r="E13" s="1" t="s">
        <v>29</v>
      </c>
      <c r="F13" s="41">
        <v>0</v>
      </c>
      <c r="G13" s="37">
        <v>0</v>
      </c>
      <c r="H13" s="91">
        <v>1</v>
      </c>
      <c r="I13" s="92">
        <v>1</v>
      </c>
      <c r="J13" s="44">
        <v>0</v>
      </c>
      <c r="K13" s="12">
        <v>1</v>
      </c>
      <c r="L13" s="45">
        <v>0</v>
      </c>
      <c r="M13" s="13">
        <v>0</v>
      </c>
      <c r="N13" s="73">
        <v>1</v>
      </c>
      <c r="O13" s="75">
        <v>1</v>
      </c>
      <c r="P13" s="47">
        <v>0</v>
      </c>
      <c r="Q13" s="15">
        <v>0</v>
      </c>
      <c r="R13" s="17">
        <v>12</v>
      </c>
    </row>
    <row r="14" spans="1:18" ht="15.75" customHeight="1" x14ac:dyDescent="0.15">
      <c r="A14" s="1">
        <v>151</v>
      </c>
      <c r="B14" s="1" t="b">
        <v>0</v>
      </c>
      <c r="C14" s="1" t="s">
        <v>5</v>
      </c>
      <c r="D14" s="1" t="s">
        <v>30</v>
      </c>
      <c r="E14" s="1" t="s">
        <v>31</v>
      </c>
      <c r="F14" s="41">
        <v>0</v>
      </c>
      <c r="G14" s="37">
        <v>0</v>
      </c>
      <c r="H14" s="91">
        <v>1</v>
      </c>
      <c r="I14" s="92">
        <v>1</v>
      </c>
      <c r="J14" s="44">
        <v>0</v>
      </c>
      <c r="K14" s="12">
        <v>0</v>
      </c>
      <c r="L14" s="45">
        <v>0</v>
      </c>
      <c r="M14" s="13">
        <v>0</v>
      </c>
      <c r="N14" s="46">
        <v>0</v>
      </c>
      <c r="O14" s="14">
        <v>0</v>
      </c>
      <c r="P14" s="47">
        <v>0</v>
      </c>
      <c r="Q14" s="10">
        <v>0</v>
      </c>
      <c r="R14" s="17">
        <v>13</v>
      </c>
    </row>
    <row r="15" spans="1:18" ht="15.75" customHeight="1" x14ac:dyDescent="0.15">
      <c r="A15" s="1">
        <v>113</v>
      </c>
      <c r="B15" s="1" t="s">
        <v>5</v>
      </c>
      <c r="C15" s="1" t="b">
        <v>0</v>
      </c>
      <c r="D15" s="1" t="s">
        <v>32</v>
      </c>
      <c r="E15" s="1" t="s">
        <v>33</v>
      </c>
      <c r="F15" s="41">
        <v>0</v>
      </c>
      <c r="G15" s="37">
        <v>0</v>
      </c>
      <c r="H15" s="91">
        <v>1</v>
      </c>
      <c r="I15" s="92">
        <v>1</v>
      </c>
      <c r="J15" s="88">
        <v>1</v>
      </c>
      <c r="K15" s="60">
        <v>1</v>
      </c>
      <c r="L15" s="64">
        <v>1</v>
      </c>
      <c r="M15" s="65">
        <v>1</v>
      </c>
      <c r="N15" s="46">
        <v>0</v>
      </c>
      <c r="O15" s="14">
        <v>0</v>
      </c>
      <c r="P15" s="47">
        <v>0</v>
      </c>
      <c r="Q15" s="10">
        <v>0</v>
      </c>
      <c r="R15" s="17">
        <v>14</v>
      </c>
    </row>
    <row r="16" spans="1:18" ht="15.75" customHeight="1" x14ac:dyDescent="0.15">
      <c r="A16" s="1">
        <v>29</v>
      </c>
      <c r="B16" s="1" t="s">
        <v>5</v>
      </c>
      <c r="C16" s="1" t="b">
        <v>1</v>
      </c>
      <c r="D16" s="1" t="s">
        <v>34</v>
      </c>
      <c r="E16" s="1" t="s">
        <v>35</v>
      </c>
      <c r="F16" s="41">
        <v>0</v>
      </c>
      <c r="G16" s="37">
        <v>0</v>
      </c>
      <c r="H16" s="98">
        <v>1</v>
      </c>
      <c r="I16" s="92">
        <v>1</v>
      </c>
      <c r="J16" s="87">
        <v>1</v>
      </c>
      <c r="K16" s="59">
        <v>1</v>
      </c>
      <c r="L16" s="45">
        <v>0</v>
      </c>
      <c r="M16" s="13">
        <v>0</v>
      </c>
      <c r="N16" s="46">
        <v>0</v>
      </c>
      <c r="O16" s="14">
        <v>0</v>
      </c>
      <c r="P16" s="47">
        <v>0</v>
      </c>
      <c r="Q16" s="10">
        <v>0</v>
      </c>
      <c r="R16" s="17">
        <v>15</v>
      </c>
    </row>
    <row r="17" spans="1:18" ht="15.75" customHeight="1" x14ac:dyDescent="0.15">
      <c r="A17" s="1">
        <v>11</v>
      </c>
      <c r="B17" s="1" t="s">
        <v>5</v>
      </c>
      <c r="C17" s="1" t="b">
        <v>0</v>
      </c>
      <c r="D17" s="1" t="s">
        <v>36</v>
      </c>
      <c r="E17" s="1" t="s">
        <v>37</v>
      </c>
      <c r="F17" s="41">
        <v>0</v>
      </c>
      <c r="G17" s="37">
        <v>0</v>
      </c>
      <c r="H17" s="91">
        <v>1</v>
      </c>
      <c r="I17" s="92">
        <v>1</v>
      </c>
      <c r="J17" s="44">
        <v>0</v>
      </c>
      <c r="K17" s="12">
        <v>0</v>
      </c>
      <c r="L17" s="45">
        <v>0</v>
      </c>
      <c r="M17" s="13">
        <v>0</v>
      </c>
      <c r="N17" s="46">
        <v>0</v>
      </c>
      <c r="O17" s="14">
        <v>0</v>
      </c>
      <c r="P17" s="47">
        <v>0</v>
      </c>
      <c r="Q17" s="15">
        <v>0</v>
      </c>
      <c r="R17" s="17">
        <v>16</v>
      </c>
    </row>
    <row r="18" spans="1:18" ht="15.75" customHeight="1" x14ac:dyDescent="0.15">
      <c r="A18" s="1">
        <v>36</v>
      </c>
      <c r="B18" s="1" t="b">
        <v>1</v>
      </c>
      <c r="C18" s="1" t="b">
        <v>0</v>
      </c>
      <c r="D18" s="1" t="s">
        <v>38</v>
      </c>
      <c r="E18" s="1" t="s">
        <v>39</v>
      </c>
      <c r="F18" s="41">
        <v>0</v>
      </c>
      <c r="G18" s="37">
        <v>0</v>
      </c>
      <c r="H18" s="91">
        <v>1</v>
      </c>
      <c r="I18" s="92">
        <v>1</v>
      </c>
      <c r="J18" s="44">
        <v>1</v>
      </c>
      <c r="K18" s="12">
        <v>0</v>
      </c>
      <c r="L18" s="45">
        <v>0</v>
      </c>
      <c r="M18" s="13">
        <v>0</v>
      </c>
      <c r="N18" s="46">
        <v>0</v>
      </c>
      <c r="O18" s="14">
        <v>1</v>
      </c>
      <c r="P18" s="47">
        <v>0</v>
      </c>
      <c r="Q18" s="10">
        <v>0</v>
      </c>
      <c r="R18" s="17">
        <v>17</v>
      </c>
    </row>
    <row r="19" spans="1:18" ht="15.75" customHeight="1" x14ac:dyDescent="0.15">
      <c r="A19" s="1">
        <v>57</v>
      </c>
      <c r="B19" s="1" t="b">
        <v>1</v>
      </c>
      <c r="C19" s="1" t="b">
        <v>0</v>
      </c>
      <c r="D19" s="1" t="s">
        <v>40</v>
      </c>
      <c r="E19" s="1" t="s">
        <v>41</v>
      </c>
      <c r="F19" s="41">
        <v>0</v>
      </c>
      <c r="G19" s="37">
        <v>0</v>
      </c>
      <c r="H19" s="99">
        <v>1</v>
      </c>
      <c r="I19" s="93">
        <v>1</v>
      </c>
      <c r="J19" s="89">
        <v>1</v>
      </c>
      <c r="K19" s="63">
        <v>1</v>
      </c>
      <c r="L19" s="66">
        <v>1</v>
      </c>
      <c r="M19" s="67">
        <v>1</v>
      </c>
      <c r="N19" s="46">
        <v>0</v>
      </c>
      <c r="O19" s="14">
        <v>0</v>
      </c>
      <c r="P19" s="47">
        <v>0</v>
      </c>
      <c r="Q19" s="10">
        <v>0</v>
      </c>
      <c r="R19" s="17">
        <v>18</v>
      </c>
    </row>
    <row r="20" spans="1:18" ht="15.75" customHeight="1" x14ac:dyDescent="0.15">
      <c r="A20" s="1">
        <v>89</v>
      </c>
      <c r="B20" s="1" t="s">
        <v>5</v>
      </c>
      <c r="C20" s="1" t="b">
        <v>1</v>
      </c>
      <c r="D20" s="1" t="s">
        <v>42</v>
      </c>
      <c r="E20" s="1" t="s">
        <v>43</v>
      </c>
      <c r="F20" s="41">
        <v>0</v>
      </c>
      <c r="G20" s="37">
        <v>0</v>
      </c>
      <c r="H20" s="43">
        <v>0</v>
      </c>
      <c r="I20" s="25">
        <v>0</v>
      </c>
      <c r="J20" s="44">
        <v>0</v>
      </c>
      <c r="K20" s="12">
        <v>0</v>
      </c>
      <c r="L20" s="66">
        <v>1</v>
      </c>
      <c r="M20" s="67">
        <v>1</v>
      </c>
      <c r="N20" s="46">
        <v>0</v>
      </c>
      <c r="O20" s="14">
        <v>0</v>
      </c>
      <c r="P20" s="47">
        <v>0</v>
      </c>
      <c r="Q20" s="10">
        <v>0</v>
      </c>
      <c r="R20" s="17">
        <v>19</v>
      </c>
    </row>
    <row r="21" spans="1:18" ht="15.75" customHeight="1" x14ac:dyDescent="0.15">
      <c r="A21" s="1">
        <v>116</v>
      </c>
      <c r="B21" s="1" t="s">
        <v>5</v>
      </c>
      <c r="C21" s="1" t="b">
        <v>0</v>
      </c>
      <c r="D21" s="1" t="s">
        <v>44</v>
      </c>
      <c r="E21" s="1" t="s">
        <v>45</v>
      </c>
      <c r="F21" s="41">
        <v>0</v>
      </c>
      <c r="G21" s="37">
        <v>0</v>
      </c>
      <c r="H21" s="94">
        <v>1</v>
      </c>
      <c r="I21" s="95">
        <v>1</v>
      </c>
      <c r="J21" s="54">
        <v>1</v>
      </c>
      <c r="K21" s="70">
        <v>1</v>
      </c>
      <c r="L21" s="68">
        <v>1</v>
      </c>
      <c r="M21" s="69">
        <v>1</v>
      </c>
      <c r="N21" s="46">
        <v>0</v>
      </c>
      <c r="O21" s="14">
        <v>0</v>
      </c>
      <c r="P21" s="47">
        <v>0</v>
      </c>
      <c r="Q21" s="15">
        <v>0</v>
      </c>
      <c r="R21" s="17">
        <v>20</v>
      </c>
    </row>
    <row r="22" spans="1:18" ht="15.75" customHeight="1" x14ac:dyDescent="0.15">
      <c r="A22" s="1">
        <v>32</v>
      </c>
      <c r="B22" s="1" t="s">
        <v>5</v>
      </c>
      <c r="C22" s="1" t="b">
        <v>1</v>
      </c>
      <c r="D22" s="1" t="s">
        <v>46</v>
      </c>
      <c r="E22" s="1" t="s">
        <v>47</v>
      </c>
      <c r="F22" s="41">
        <v>0</v>
      </c>
      <c r="G22" s="37">
        <v>0</v>
      </c>
      <c r="H22" s="43">
        <v>0</v>
      </c>
      <c r="I22" s="25">
        <v>0</v>
      </c>
      <c r="J22" s="56">
        <v>1</v>
      </c>
      <c r="K22" s="61">
        <v>1</v>
      </c>
      <c r="L22" s="45">
        <v>0</v>
      </c>
      <c r="M22" s="13">
        <v>0</v>
      </c>
      <c r="N22" s="46">
        <v>0</v>
      </c>
      <c r="O22" s="14">
        <v>0</v>
      </c>
      <c r="P22" s="47">
        <v>0</v>
      </c>
      <c r="Q22" s="10">
        <v>0</v>
      </c>
      <c r="R22" s="17">
        <v>21</v>
      </c>
    </row>
    <row r="23" spans="1:18" ht="15.75" customHeight="1" x14ac:dyDescent="0.15">
      <c r="A23" s="1">
        <v>119</v>
      </c>
      <c r="B23" s="1" t="s">
        <v>5</v>
      </c>
      <c r="C23" s="1" t="b">
        <v>0</v>
      </c>
      <c r="D23" s="1" t="s">
        <v>48</v>
      </c>
      <c r="E23" s="1" t="s">
        <v>49</v>
      </c>
      <c r="F23" s="41">
        <v>0</v>
      </c>
      <c r="G23" s="37">
        <v>0</v>
      </c>
      <c r="H23" s="83">
        <v>1</v>
      </c>
      <c r="I23" s="90">
        <v>1</v>
      </c>
      <c r="J23" s="56">
        <v>1</v>
      </c>
      <c r="K23" s="61">
        <v>1</v>
      </c>
      <c r="L23" s="64">
        <v>1</v>
      </c>
      <c r="M23" s="65">
        <v>1</v>
      </c>
      <c r="N23" s="46">
        <v>0</v>
      </c>
      <c r="O23" s="14">
        <v>0</v>
      </c>
      <c r="P23" s="47">
        <v>0</v>
      </c>
      <c r="Q23" s="10">
        <v>0</v>
      </c>
      <c r="R23" s="17">
        <v>22</v>
      </c>
    </row>
    <row r="24" spans="1:18" ht="15.75" customHeight="1" x14ac:dyDescent="0.15">
      <c r="A24" s="1">
        <v>134</v>
      </c>
      <c r="B24" s="1" t="s">
        <v>5</v>
      </c>
      <c r="C24" s="1" t="b">
        <v>0</v>
      </c>
      <c r="D24" s="1" t="s">
        <v>50</v>
      </c>
      <c r="E24" s="1" t="s">
        <v>51</v>
      </c>
      <c r="F24" s="41">
        <v>0</v>
      </c>
      <c r="G24" s="37">
        <v>0</v>
      </c>
      <c r="H24" s="91">
        <v>1</v>
      </c>
      <c r="I24" s="92">
        <v>1</v>
      </c>
      <c r="J24" s="56">
        <v>1</v>
      </c>
      <c r="K24" s="61">
        <v>1</v>
      </c>
      <c r="L24" s="45">
        <v>0</v>
      </c>
      <c r="M24" s="13">
        <v>0</v>
      </c>
      <c r="N24" s="46">
        <v>0</v>
      </c>
      <c r="O24" s="14">
        <v>0</v>
      </c>
      <c r="P24" s="47">
        <v>0</v>
      </c>
      <c r="Q24" s="10">
        <v>0</v>
      </c>
      <c r="R24" s="17">
        <v>23</v>
      </c>
    </row>
    <row r="25" spans="1:18" ht="15.75" customHeight="1" x14ac:dyDescent="0.15">
      <c r="A25" s="1">
        <v>61</v>
      </c>
      <c r="B25" s="1" t="b">
        <v>0</v>
      </c>
      <c r="C25" s="1" t="s">
        <v>5</v>
      </c>
      <c r="D25" s="1" t="s">
        <v>52</v>
      </c>
      <c r="E25" s="1" t="s">
        <v>53</v>
      </c>
      <c r="F25" s="41">
        <v>0</v>
      </c>
      <c r="G25" s="37">
        <v>0</v>
      </c>
      <c r="H25" s="85">
        <v>1</v>
      </c>
      <c r="I25" s="93">
        <v>1</v>
      </c>
      <c r="J25" s="58">
        <v>1</v>
      </c>
      <c r="K25" s="59">
        <v>1</v>
      </c>
      <c r="L25" s="45">
        <v>0</v>
      </c>
      <c r="M25" s="13">
        <v>0</v>
      </c>
      <c r="N25" s="46">
        <v>0</v>
      </c>
      <c r="O25" s="14">
        <v>0</v>
      </c>
      <c r="P25" s="47">
        <v>0</v>
      </c>
      <c r="Q25" s="15">
        <v>0</v>
      </c>
      <c r="R25" s="17">
        <v>24</v>
      </c>
    </row>
    <row r="26" spans="1:18" ht="15.75" customHeight="1" x14ac:dyDescent="0.15">
      <c r="A26" s="1">
        <v>66</v>
      </c>
      <c r="B26" s="1" t="b">
        <v>1</v>
      </c>
      <c r="C26" s="1" t="s">
        <v>5</v>
      </c>
      <c r="D26" s="1" t="s">
        <v>54</v>
      </c>
      <c r="E26" s="1" t="s">
        <v>55</v>
      </c>
      <c r="F26" s="41">
        <v>0</v>
      </c>
      <c r="G26" s="37">
        <v>0</v>
      </c>
      <c r="H26" s="43">
        <v>1</v>
      </c>
      <c r="I26" s="25">
        <v>0</v>
      </c>
      <c r="J26" s="44">
        <v>0</v>
      </c>
      <c r="K26" s="12">
        <v>0</v>
      </c>
      <c r="L26" s="45">
        <v>0</v>
      </c>
      <c r="M26" s="13">
        <v>0</v>
      </c>
      <c r="N26" s="46">
        <v>0</v>
      </c>
      <c r="O26" s="14">
        <v>1</v>
      </c>
      <c r="P26" s="47">
        <v>0</v>
      </c>
      <c r="Q26" s="10">
        <v>0</v>
      </c>
      <c r="R26" s="17">
        <v>25</v>
      </c>
    </row>
    <row r="27" spans="1:18" ht="15.75" customHeight="1" x14ac:dyDescent="0.15">
      <c r="A27" s="1">
        <v>27</v>
      </c>
      <c r="B27" s="1" t="b">
        <v>1</v>
      </c>
      <c r="C27" s="1" t="b">
        <v>0</v>
      </c>
      <c r="D27" s="1" t="s">
        <v>56</v>
      </c>
      <c r="E27" s="1" t="s">
        <v>57</v>
      </c>
      <c r="F27" s="41">
        <v>0</v>
      </c>
      <c r="G27" s="37">
        <v>0</v>
      </c>
      <c r="H27" s="83">
        <v>1</v>
      </c>
      <c r="I27" s="90">
        <v>1</v>
      </c>
      <c r="J27" s="54">
        <v>1</v>
      </c>
      <c r="K27" s="60">
        <v>1</v>
      </c>
      <c r="L27" s="66">
        <v>1</v>
      </c>
      <c r="M27" s="67">
        <v>1</v>
      </c>
      <c r="N27" s="46">
        <v>0</v>
      </c>
      <c r="O27" s="14">
        <v>0</v>
      </c>
      <c r="P27" s="47">
        <v>0</v>
      </c>
      <c r="Q27" s="10">
        <v>0</v>
      </c>
      <c r="R27" s="17">
        <v>26</v>
      </c>
    </row>
    <row r="28" spans="1:18" ht="15.75" customHeight="1" x14ac:dyDescent="0.15">
      <c r="A28" s="1">
        <v>117</v>
      </c>
      <c r="B28" s="1" t="b">
        <v>1</v>
      </c>
      <c r="C28" s="1" t="b">
        <v>0</v>
      </c>
      <c r="D28" s="1" t="s">
        <v>58</v>
      </c>
      <c r="E28" s="1" t="s">
        <v>59</v>
      </c>
      <c r="F28" s="41">
        <v>0</v>
      </c>
      <c r="G28" s="37">
        <v>0</v>
      </c>
      <c r="H28" s="91">
        <v>1</v>
      </c>
      <c r="I28" s="92">
        <v>1</v>
      </c>
      <c r="J28" s="56">
        <v>1</v>
      </c>
      <c r="K28" s="61">
        <v>1</v>
      </c>
      <c r="L28" s="71">
        <v>1</v>
      </c>
      <c r="M28" s="72">
        <v>1</v>
      </c>
      <c r="N28" s="46">
        <v>0</v>
      </c>
      <c r="O28" s="14">
        <v>0</v>
      </c>
      <c r="P28" s="47">
        <v>0</v>
      </c>
      <c r="Q28" s="10">
        <v>0</v>
      </c>
      <c r="R28" s="17">
        <v>27</v>
      </c>
    </row>
    <row r="29" spans="1:18" ht="15.75" customHeight="1" x14ac:dyDescent="0.15">
      <c r="A29" s="1">
        <v>120</v>
      </c>
      <c r="B29" s="1" t="b">
        <v>1</v>
      </c>
      <c r="C29" s="1" t="b">
        <v>0</v>
      </c>
      <c r="D29" s="1" t="s">
        <v>60</v>
      </c>
      <c r="E29" s="1" t="s">
        <v>61</v>
      </c>
      <c r="F29" s="41">
        <v>0</v>
      </c>
      <c r="G29" s="37">
        <v>0</v>
      </c>
      <c r="H29" s="91">
        <v>1</v>
      </c>
      <c r="I29" s="92">
        <v>1</v>
      </c>
      <c r="J29" s="56">
        <v>1</v>
      </c>
      <c r="K29" s="61">
        <v>1</v>
      </c>
      <c r="L29" s="68">
        <v>1</v>
      </c>
      <c r="M29" s="69">
        <v>1</v>
      </c>
      <c r="N29" s="46">
        <v>0</v>
      </c>
      <c r="O29" s="14">
        <v>0</v>
      </c>
      <c r="P29" s="47">
        <v>0</v>
      </c>
      <c r="Q29" s="15">
        <v>0</v>
      </c>
      <c r="R29" s="17">
        <v>28</v>
      </c>
    </row>
    <row r="30" spans="1:18" ht="15.75" customHeight="1" x14ac:dyDescent="0.15">
      <c r="A30" s="1">
        <v>62</v>
      </c>
      <c r="B30" s="1" t="s">
        <v>5</v>
      </c>
      <c r="C30" s="1" t="b">
        <v>0</v>
      </c>
      <c r="D30" s="1" t="s">
        <v>62</v>
      </c>
      <c r="E30" s="1" t="s">
        <v>63</v>
      </c>
      <c r="F30" s="41">
        <v>0</v>
      </c>
      <c r="G30" s="37">
        <v>0</v>
      </c>
      <c r="H30" s="91">
        <v>1</v>
      </c>
      <c r="I30" s="92">
        <v>1</v>
      </c>
      <c r="J30" s="56">
        <v>1</v>
      </c>
      <c r="K30" s="61">
        <v>1</v>
      </c>
      <c r="L30" s="45">
        <v>0</v>
      </c>
      <c r="M30" s="13">
        <v>1</v>
      </c>
      <c r="N30" s="46">
        <v>0</v>
      </c>
      <c r="O30" s="14">
        <v>0</v>
      </c>
      <c r="P30" s="47">
        <v>0</v>
      </c>
      <c r="Q30" s="10">
        <v>0</v>
      </c>
      <c r="R30" s="17">
        <v>29</v>
      </c>
    </row>
    <row r="31" spans="1:18" ht="15.75" customHeight="1" x14ac:dyDescent="0.15">
      <c r="A31" s="1">
        <v>132</v>
      </c>
      <c r="B31" s="1" t="b">
        <v>1</v>
      </c>
      <c r="C31" s="1" t="b">
        <v>0</v>
      </c>
      <c r="D31" s="1" t="s">
        <v>64</v>
      </c>
      <c r="E31" s="1" t="s">
        <v>65</v>
      </c>
      <c r="F31" s="41">
        <v>0</v>
      </c>
      <c r="G31" s="37">
        <v>0</v>
      </c>
      <c r="H31" s="85">
        <v>1</v>
      </c>
      <c r="I31" s="93">
        <v>1</v>
      </c>
      <c r="J31" s="56">
        <v>1</v>
      </c>
      <c r="K31" s="61">
        <v>1</v>
      </c>
      <c r="L31" s="45">
        <v>0</v>
      </c>
      <c r="M31" s="13">
        <v>1</v>
      </c>
      <c r="N31" s="46">
        <v>0</v>
      </c>
      <c r="O31" s="14">
        <v>0</v>
      </c>
      <c r="P31" s="47">
        <v>0</v>
      </c>
      <c r="Q31" s="10">
        <v>0</v>
      </c>
      <c r="R31" s="17">
        <v>30</v>
      </c>
    </row>
    <row r="32" spans="1:18" ht="15.75" customHeight="1" x14ac:dyDescent="0.15">
      <c r="A32" s="1">
        <v>23</v>
      </c>
      <c r="B32" s="1" t="s">
        <v>5</v>
      </c>
      <c r="C32" s="1" t="b">
        <v>1</v>
      </c>
      <c r="D32" s="1" t="s">
        <v>66</v>
      </c>
      <c r="E32" s="1" t="s">
        <v>67</v>
      </c>
      <c r="F32" s="41">
        <v>0</v>
      </c>
      <c r="G32" s="37">
        <v>0</v>
      </c>
      <c r="H32" s="43">
        <v>0</v>
      </c>
      <c r="I32" s="25">
        <v>0</v>
      </c>
      <c r="J32" s="58">
        <v>1</v>
      </c>
      <c r="K32" s="59">
        <v>1</v>
      </c>
      <c r="L32" s="45">
        <v>0</v>
      </c>
      <c r="M32" s="13">
        <v>0</v>
      </c>
      <c r="N32" s="46">
        <v>0</v>
      </c>
      <c r="O32" s="14">
        <v>1</v>
      </c>
      <c r="P32" s="47">
        <v>0</v>
      </c>
      <c r="Q32" s="10">
        <v>0</v>
      </c>
      <c r="R32" s="17">
        <v>31</v>
      </c>
    </row>
    <row r="33" spans="1:18" ht="15.75" customHeight="1" x14ac:dyDescent="0.15">
      <c r="A33" s="1">
        <v>121</v>
      </c>
      <c r="B33" s="1" t="b">
        <v>0</v>
      </c>
      <c r="C33" s="1" t="s">
        <v>5</v>
      </c>
      <c r="D33" s="1" t="s">
        <v>68</v>
      </c>
      <c r="E33" s="1" t="s">
        <v>69</v>
      </c>
      <c r="F33" s="41">
        <v>0</v>
      </c>
      <c r="G33" s="37">
        <v>0</v>
      </c>
      <c r="H33" s="94">
        <v>1</v>
      </c>
      <c r="I33" s="95">
        <v>1</v>
      </c>
      <c r="J33" s="44">
        <v>0</v>
      </c>
      <c r="K33" s="12">
        <v>0</v>
      </c>
      <c r="L33" s="45">
        <v>0</v>
      </c>
      <c r="M33" s="13">
        <v>0</v>
      </c>
      <c r="N33" s="73">
        <v>1</v>
      </c>
      <c r="O33" s="75">
        <v>1</v>
      </c>
      <c r="P33" s="47">
        <v>0</v>
      </c>
      <c r="Q33" s="15">
        <v>0</v>
      </c>
      <c r="R33" s="17">
        <v>32</v>
      </c>
    </row>
    <row r="34" spans="1:18" ht="15.75" customHeight="1" x14ac:dyDescent="0.15">
      <c r="A34" s="1">
        <v>14</v>
      </c>
      <c r="B34" s="1" t="s">
        <v>5</v>
      </c>
      <c r="C34" s="1" t="s">
        <v>70</v>
      </c>
      <c r="D34" s="1" t="s">
        <v>71</v>
      </c>
      <c r="E34" s="1" t="s">
        <v>72</v>
      </c>
      <c r="F34" s="41">
        <v>0</v>
      </c>
      <c r="G34" s="38">
        <v>0</v>
      </c>
      <c r="H34" s="43">
        <v>1</v>
      </c>
      <c r="I34" s="26">
        <v>0</v>
      </c>
      <c r="J34" s="44">
        <v>0</v>
      </c>
      <c r="K34" s="18">
        <v>0</v>
      </c>
      <c r="L34" s="45">
        <v>0</v>
      </c>
      <c r="M34" s="19">
        <v>0</v>
      </c>
      <c r="N34" s="46">
        <v>1</v>
      </c>
      <c r="O34" s="20">
        <v>0</v>
      </c>
      <c r="P34" s="80">
        <v>1</v>
      </c>
      <c r="Q34" s="81">
        <v>1</v>
      </c>
      <c r="R34" s="21">
        <v>33</v>
      </c>
    </row>
    <row r="35" spans="1:18" ht="15.75" customHeight="1" x14ac:dyDescent="0.15">
      <c r="A35" s="1">
        <v>79</v>
      </c>
      <c r="B35" s="1" t="b">
        <v>0</v>
      </c>
      <c r="C35" s="1" t="s">
        <v>5</v>
      </c>
      <c r="D35" s="1" t="s">
        <v>73</v>
      </c>
      <c r="E35" s="1" t="s">
        <v>74</v>
      </c>
      <c r="F35" s="41">
        <v>0</v>
      </c>
      <c r="G35" s="37">
        <v>1</v>
      </c>
      <c r="H35" s="94">
        <v>1</v>
      </c>
      <c r="I35" s="95">
        <v>1</v>
      </c>
      <c r="J35" s="44">
        <v>0</v>
      </c>
      <c r="K35" s="12">
        <v>0</v>
      </c>
      <c r="L35" s="45">
        <v>0</v>
      </c>
      <c r="M35" s="13">
        <v>0</v>
      </c>
      <c r="N35" s="76">
        <v>1</v>
      </c>
      <c r="O35" s="77">
        <v>1</v>
      </c>
      <c r="P35" s="47">
        <v>0</v>
      </c>
      <c r="Q35" s="10">
        <v>0</v>
      </c>
      <c r="R35" s="17">
        <v>34</v>
      </c>
    </row>
    <row r="36" spans="1:18" ht="15.75" customHeight="1" x14ac:dyDescent="0.15">
      <c r="A36" s="1">
        <v>86</v>
      </c>
      <c r="B36" s="1" t="s">
        <v>5</v>
      </c>
      <c r="C36" s="1" t="b">
        <v>1</v>
      </c>
      <c r="D36" s="1" t="s">
        <v>75</v>
      </c>
      <c r="E36" s="1" t="s">
        <v>76</v>
      </c>
      <c r="F36" s="41">
        <v>0</v>
      </c>
      <c r="G36" s="37">
        <v>0</v>
      </c>
      <c r="H36" s="43">
        <v>1</v>
      </c>
      <c r="I36" s="25">
        <v>0</v>
      </c>
      <c r="J36" s="44">
        <v>0</v>
      </c>
      <c r="K36" s="12">
        <v>0</v>
      </c>
      <c r="L36" s="45">
        <v>0</v>
      </c>
      <c r="M36" s="13">
        <v>0</v>
      </c>
      <c r="N36" s="78">
        <v>1</v>
      </c>
      <c r="O36" s="79">
        <v>1</v>
      </c>
      <c r="P36" s="47">
        <v>0</v>
      </c>
      <c r="Q36" s="10">
        <v>0</v>
      </c>
      <c r="R36" s="17">
        <v>35</v>
      </c>
    </row>
    <row r="37" spans="1:18" ht="15.75" customHeight="1" x14ac:dyDescent="0.15">
      <c r="A37" s="1">
        <v>33</v>
      </c>
      <c r="B37" s="1" t="b">
        <v>1</v>
      </c>
      <c r="C37" s="1" t="b">
        <v>0</v>
      </c>
      <c r="D37" s="1" t="s">
        <v>77</v>
      </c>
      <c r="E37" s="1" t="s">
        <v>78</v>
      </c>
      <c r="F37" s="41">
        <v>0</v>
      </c>
      <c r="G37" s="37">
        <v>1</v>
      </c>
      <c r="H37" s="100">
        <v>1</v>
      </c>
      <c r="I37" s="90">
        <v>1</v>
      </c>
      <c r="J37" s="88">
        <v>1</v>
      </c>
      <c r="K37" s="60">
        <v>1</v>
      </c>
      <c r="L37" s="45">
        <v>0</v>
      </c>
      <c r="M37" s="13">
        <v>0</v>
      </c>
      <c r="N37" s="46">
        <v>1</v>
      </c>
      <c r="O37" s="14">
        <v>0</v>
      </c>
      <c r="P37" s="47">
        <v>0</v>
      </c>
      <c r="Q37" s="15">
        <v>0</v>
      </c>
      <c r="R37" s="17">
        <v>36</v>
      </c>
    </row>
    <row r="38" spans="1:18" ht="15.75" customHeight="1" x14ac:dyDescent="0.15">
      <c r="A38" s="1">
        <v>84</v>
      </c>
      <c r="B38" s="1" t="b">
        <v>1</v>
      </c>
      <c r="C38" s="1" t="b">
        <v>0</v>
      </c>
      <c r="D38" s="1" t="s">
        <v>79</v>
      </c>
      <c r="E38" s="1" t="s">
        <v>80</v>
      </c>
      <c r="F38" s="41">
        <v>0</v>
      </c>
      <c r="G38" s="37">
        <v>0</v>
      </c>
      <c r="H38" s="91">
        <v>1</v>
      </c>
      <c r="I38" s="92">
        <v>1</v>
      </c>
      <c r="J38" s="87">
        <v>1</v>
      </c>
      <c r="K38" s="59">
        <v>1</v>
      </c>
      <c r="L38" s="64">
        <v>1</v>
      </c>
      <c r="M38" s="65">
        <v>1</v>
      </c>
      <c r="N38" s="46">
        <v>0</v>
      </c>
      <c r="O38" s="14">
        <v>0</v>
      </c>
      <c r="P38" s="47">
        <v>0</v>
      </c>
      <c r="Q38" s="10">
        <v>0</v>
      </c>
      <c r="R38" s="17">
        <v>37</v>
      </c>
    </row>
    <row r="39" spans="1:18" ht="15.75" customHeight="1" x14ac:dyDescent="0.15">
      <c r="A39" s="1">
        <v>68</v>
      </c>
      <c r="B39" s="1" t="s">
        <v>5</v>
      </c>
      <c r="C39" s="1" t="b">
        <v>0</v>
      </c>
      <c r="D39" s="1" t="s">
        <v>81</v>
      </c>
      <c r="E39" s="1" t="s">
        <v>82</v>
      </c>
      <c r="F39" s="41">
        <v>1</v>
      </c>
      <c r="G39" s="37">
        <v>1</v>
      </c>
      <c r="H39" s="85">
        <v>1</v>
      </c>
      <c r="I39" s="93">
        <v>1</v>
      </c>
      <c r="J39" s="44">
        <v>0</v>
      </c>
      <c r="K39" s="12">
        <v>1</v>
      </c>
      <c r="L39" s="45">
        <v>0</v>
      </c>
      <c r="M39" s="13">
        <v>0</v>
      </c>
      <c r="N39" s="76">
        <v>1</v>
      </c>
      <c r="O39" s="77">
        <v>1</v>
      </c>
      <c r="P39" s="47">
        <v>0</v>
      </c>
      <c r="Q39" s="10">
        <v>0</v>
      </c>
      <c r="R39" s="17">
        <v>38</v>
      </c>
    </row>
    <row r="40" spans="1:18" ht="15.75" customHeight="1" x14ac:dyDescent="0.15">
      <c r="A40" s="1">
        <v>18</v>
      </c>
      <c r="B40" s="1" t="b">
        <v>1</v>
      </c>
      <c r="C40" s="1" t="s">
        <v>5</v>
      </c>
      <c r="D40" s="1" t="s">
        <v>83</v>
      </c>
      <c r="E40" s="1" t="s">
        <v>84</v>
      </c>
      <c r="F40" s="41">
        <v>1</v>
      </c>
      <c r="G40" s="37">
        <v>1</v>
      </c>
      <c r="H40" s="43">
        <v>1</v>
      </c>
      <c r="I40" s="25">
        <v>0</v>
      </c>
      <c r="J40" s="44">
        <v>0</v>
      </c>
      <c r="K40" s="12">
        <v>0</v>
      </c>
      <c r="L40" s="45">
        <v>0</v>
      </c>
      <c r="M40" s="13">
        <v>0</v>
      </c>
      <c r="N40" s="78">
        <v>1</v>
      </c>
      <c r="O40" s="79">
        <v>1</v>
      </c>
      <c r="P40" s="47">
        <v>0</v>
      </c>
      <c r="Q40" s="10">
        <v>0</v>
      </c>
      <c r="R40" s="17">
        <v>39</v>
      </c>
    </row>
    <row r="41" spans="1:18" ht="15.75" customHeight="1" x14ac:dyDescent="0.15">
      <c r="A41" s="1">
        <v>137</v>
      </c>
      <c r="B41" s="1" t="s">
        <v>5</v>
      </c>
      <c r="C41" s="1" t="b">
        <v>0</v>
      </c>
      <c r="D41" s="1" t="s">
        <v>85</v>
      </c>
      <c r="E41" s="1" t="s">
        <v>86</v>
      </c>
      <c r="F41" s="41">
        <v>0</v>
      </c>
      <c r="G41" s="37">
        <v>0</v>
      </c>
      <c r="H41" s="83">
        <v>1</v>
      </c>
      <c r="I41" s="90">
        <v>1</v>
      </c>
      <c r="J41" s="88">
        <v>1</v>
      </c>
      <c r="K41" s="60">
        <v>1</v>
      </c>
      <c r="L41" s="45">
        <v>0</v>
      </c>
      <c r="M41" s="13">
        <v>0</v>
      </c>
      <c r="N41" s="46">
        <v>0</v>
      </c>
      <c r="O41" s="14">
        <v>0</v>
      </c>
      <c r="P41" s="47">
        <v>0</v>
      </c>
      <c r="Q41" s="15">
        <v>0</v>
      </c>
      <c r="R41" s="17">
        <v>40</v>
      </c>
    </row>
    <row r="42" spans="1:18" ht="15.75" customHeight="1" x14ac:dyDescent="0.15">
      <c r="A42" s="1">
        <v>54</v>
      </c>
      <c r="B42" s="1" t="b">
        <v>1</v>
      </c>
      <c r="C42" s="1" t="b">
        <v>0</v>
      </c>
      <c r="D42" s="1" t="s">
        <v>87</v>
      </c>
      <c r="E42" s="1" t="s">
        <v>88</v>
      </c>
      <c r="F42" s="48">
        <v>1</v>
      </c>
      <c r="G42" s="96">
        <v>1</v>
      </c>
      <c r="H42" s="91">
        <v>1</v>
      </c>
      <c r="I42" s="92">
        <v>1</v>
      </c>
      <c r="J42" s="87">
        <v>1</v>
      </c>
      <c r="K42" s="59">
        <v>1</v>
      </c>
      <c r="L42" s="64">
        <v>1</v>
      </c>
      <c r="M42" s="65">
        <v>1</v>
      </c>
      <c r="N42" s="46">
        <v>0</v>
      </c>
      <c r="O42" s="14">
        <v>0</v>
      </c>
      <c r="P42" s="47">
        <v>0</v>
      </c>
      <c r="Q42" s="10">
        <v>0</v>
      </c>
      <c r="R42" s="17">
        <v>41</v>
      </c>
    </row>
    <row r="43" spans="1:18" ht="15.75" customHeight="1" x14ac:dyDescent="0.15">
      <c r="A43" s="1">
        <v>38</v>
      </c>
      <c r="B43" s="1" t="s">
        <v>5</v>
      </c>
      <c r="C43" s="1" t="b">
        <v>0</v>
      </c>
      <c r="D43" s="1" t="s">
        <v>89</v>
      </c>
      <c r="E43" s="1" t="s">
        <v>90</v>
      </c>
      <c r="F43" s="51">
        <v>1</v>
      </c>
      <c r="G43" s="37">
        <v>1</v>
      </c>
      <c r="H43" s="91">
        <v>1</v>
      </c>
      <c r="I43" s="92">
        <v>1</v>
      </c>
      <c r="J43" s="44">
        <v>1</v>
      </c>
      <c r="K43" s="12">
        <v>0</v>
      </c>
      <c r="L43" s="45">
        <v>0</v>
      </c>
      <c r="M43" s="13">
        <v>0</v>
      </c>
      <c r="N43" s="46">
        <v>0</v>
      </c>
      <c r="O43" s="14">
        <v>1</v>
      </c>
      <c r="P43" s="47">
        <v>0</v>
      </c>
      <c r="Q43" s="10">
        <v>0</v>
      </c>
      <c r="R43" s="17">
        <v>42</v>
      </c>
    </row>
    <row r="44" spans="1:18" ht="15.75" customHeight="1" x14ac:dyDescent="0.15">
      <c r="A44" s="1">
        <v>131</v>
      </c>
      <c r="B44" s="1" t="s">
        <v>5</v>
      </c>
      <c r="C44" s="1" t="b">
        <v>0</v>
      </c>
      <c r="D44" s="1" t="s">
        <v>91</v>
      </c>
      <c r="E44" s="1" t="s">
        <v>92</v>
      </c>
      <c r="F44" s="51">
        <v>1</v>
      </c>
      <c r="G44" s="37">
        <v>1</v>
      </c>
      <c r="H44" s="85">
        <v>1</v>
      </c>
      <c r="I44" s="93">
        <v>1</v>
      </c>
      <c r="J44" s="89">
        <v>1</v>
      </c>
      <c r="K44" s="63">
        <v>1</v>
      </c>
      <c r="L44" s="45">
        <v>0</v>
      </c>
      <c r="M44" s="13">
        <v>1</v>
      </c>
      <c r="N44" s="46">
        <v>0</v>
      </c>
      <c r="O44" s="14">
        <v>0</v>
      </c>
      <c r="P44" s="47">
        <v>0</v>
      </c>
      <c r="Q44" s="10">
        <v>0</v>
      </c>
      <c r="R44" s="17">
        <v>43</v>
      </c>
    </row>
    <row r="45" spans="1:18" ht="15.75" customHeight="1" x14ac:dyDescent="0.15">
      <c r="A45" s="1">
        <v>52</v>
      </c>
      <c r="B45" s="1" t="b">
        <v>0</v>
      </c>
      <c r="C45" s="1" t="s">
        <v>5</v>
      </c>
      <c r="D45" s="1" t="s">
        <v>93</v>
      </c>
      <c r="E45" s="1" t="s">
        <v>94</v>
      </c>
      <c r="F45" s="50">
        <v>1</v>
      </c>
      <c r="G45" s="52">
        <v>1</v>
      </c>
      <c r="H45" s="43">
        <v>0</v>
      </c>
      <c r="I45" s="25">
        <v>0</v>
      </c>
      <c r="J45" s="44">
        <v>0</v>
      </c>
      <c r="K45" s="12">
        <v>0</v>
      </c>
      <c r="L45" s="45">
        <v>0</v>
      </c>
      <c r="M45" s="13">
        <v>0</v>
      </c>
      <c r="N45" s="73">
        <v>1</v>
      </c>
      <c r="O45" s="75">
        <v>1</v>
      </c>
      <c r="P45" s="47">
        <v>0</v>
      </c>
      <c r="Q45" s="15">
        <v>0</v>
      </c>
      <c r="R45" s="17">
        <v>44</v>
      </c>
    </row>
    <row r="46" spans="1:18" ht="15.75" customHeight="1" x14ac:dyDescent="0.15">
      <c r="A46" s="1">
        <v>95</v>
      </c>
      <c r="B46" s="1" t="s">
        <v>5</v>
      </c>
      <c r="C46" s="1" t="b">
        <v>0</v>
      </c>
      <c r="D46" s="1" t="s">
        <v>95</v>
      </c>
      <c r="E46" s="1" t="s">
        <v>96</v>
      </c>
      <c r="F46" s="41">
        <v>0</v>
      </c>
      <c r="G46" s="37">
        <v>0</v>
      </c>
      <c r="H46" s="83">
        <v>1</v>
      </c>
      <c r="I46" s="90">
        <v>1</v>
      </c>
      <c r="J46" s="44">
        <v>0</v>
      </c>
      <c r="K46" s="12">
        <v>0</v>
      </c>
      <c r="L46" s="45">
        <v>0</v>
      </c>
      <c r="M46" s="13">
        <v>0</v>
      </c>
      <c r="N46" s="46">
        <v>0</v>
      </c>
      <c r="O46" s="14">
        <v>0</v>
      </c>
      <c r="P46" s="47">
        <v>0</v>
      </c>
      <c r="Q46" s="10">
        <v>0</v>
      </c>
      <c r="R46" s="17">
        <v>45</v>
      </c>
    </row>
    <row r="47" spans="1:18" ht="15.75" customHeight="1" x14ac:dyDescent="0.15">
      <c r="A47" s="1">
        <v>30</v>
      </c>
      <c r="B47" s="1" t="b">
        <v>1</v>
      </c>
      <c r="C47" s="1" t="b">
        <v>0</v>
      </c>
      <c r="D47" s="1" t="s">
        <v>97</v>
      </c>
      <c r="E47" s="1" t="s">
        <v>98</v>
      </c>
      <c r="F47" s="53">
        <v>1</v>
      </c>
      <c r="G47" s="97">
        <v>1</v>
      </c>
      <c r="H47" s="91">
        <v>1</v>
      </c>
      <c r="I47" s="92">
        <v>1</v>
      </c>
      <c r="J47" s="89">
        <v>1</v>
      </c>
      <c r="K47" s="63">
        <v>1</v>
      </c>
      <c r="L47" s="45">
        <v>0</v>
      </c>
      <c r="M47" s="13">
        <v>0</v>
      </c>
      <c r="N47" s="46">
        <v>0</v>
      </c>
      <c r="O47" s="14">
        <v>0</v>
      </c>
      <c r="P47" s="47">
        <v>0</v>
      </c>
      <c r="Q47" s="10">
        <v>0</v>
      </c>
      <c r="R47" s="17">
        <v>46</v>
      </c>
    </row>
    <row r="48" spans="1:18" ht="15.75" customHeight="1" x14ac:dyDescent="0.15">
      <c r="A48" s="1">
        <v>50</v>
      </c>
      <c r="B48" s="1" t="s">
        <v>5</v>
      </c>
      <c r="C48" s="1" t="b">
        <v>0</v>
      </c>
      <c r="D48" s="1" t="s">
        <v>99</v>
      </c>
      <c r="E48" s="1" t="s">
        <v>100</v>
      </c>
      <c r="F48" s="41">
        <v>0</v>
      </c>
      <c r="G48" s="37">
        <v>0</v>
      </c>
      <c r="H48" s="91">
        <v>1</v>
      </c>
      <c r="I48" s="92">
        <v>1</v>
      </c>
      <c r="J48" s="44">
        <v>0</v>
      </c>
      <c r="K48" s="12">
        <v>0</v>
      </c>
      <c r="L48" s="45">
        <v>0</v>
      </c>
      <c r="M48" s="13">
        <v>0</v>
      </c>
      <c r="N48" s="46">
        <v>0</v>
      </c>
      <c r="O48" s="14">
        <v>0</v>
      </c>
      <c r="P48" s="47">
        <v>1</v>
      </c>
      <c r="Q48" s="10">
        <v>0</v>
      </c>
      <c r="R48" s="17">
        <v>47</v>
      </c>
    </row>
    <row r="49" spans="1:18" ht="15.75" customHeight="1" x14ac:dyDescent="0.15">
      <c r="A49" s="1">
        <v>9</v>
      </c>
      <c r="B49" s="1" t="b">
        <v>1</v>
      </c>
      <c r="C49" s="1" t="b">
        <v>0</v>
      </c>
      <c r="D49" s="1" t="s">
        <v>101</v>
      </c>
      <c r="E49" s="1" t="s">
        <v>102</v>
      </c>
      <c r="F49" s="53">
        <v>1</v>
      </c>
      <c r="G49" s="97">
        <v>1</v>
      </c>
      <c r="H49" s="85">
        <v>1</v>
      </c>
      <c r="I49" s="93">
        <v>1</v>
      </c>
      <c r="J49" s="44">
        <v>0</v>
      </c>
      <c r="K49" s="12">
        <v>0</v>
      </c>
      <c r="L49" s="45">
        <v>0</v>
      </c>
      <c r="M49" s="13">
        <v>0</v>
      </c>
      <c r="N49" s="73">
        <v>1</v>
      </c>
      <c r="O49" s="75">
        <v>1</v>
      </c>
      <c r="P49" s="47">
        <v>0</v>
      </c>
      <c r="Q49" s="15">
        <v>0</v>
      </c>
      <c r="R49" s="17">
        <v>48</v>
      </c>
    </row>
    <row r="50" spans="1:18" ht="15.75" customHeight="1" x14ac:dyDescent="0.15">
      <c r="A50" s="1">
        <v>35</v>
      </c>
      <c r="B50" s="1" t="s">
        <v>5</v>
      </c>
      <c r="C50" s="1" t="b">
        <v>1</v>
      </c>
      <c r="D50" s="1" t="s">
        <v>103</v>
      </c>
      <c r="E50" s="1" t="s">
        <v>104</v>
      </c>
      <c r="F50" s="41">
        <v>0</v>
      </c>
      <c r="G50" s="37">
        <v>0</v>
      </c>
      <c r="H50" s="43">
        <v>0</v>
      </c>
      <c r="I50" s="25">
        <v>1</v>
      </c>
      <c r="J50" s="62">
        <v>1</v>
      </c>
      <c r="K50" s="63">
        <v>1</v>
      </c>
      <c r="L50" s="45">
        <v>0</v>
      </c>
      <c r="M50" s="13">
        <v>0</v>
      </c>
      <c r="N50" s="46">
        <v>0</v>
      </c>
      <c r="O50" s="14">
        <v>0</v>
      </c>
      <c r="P50" s="47">
        <v>0</v>
      </c>
      <c r="Q50" s="10">
        <v>0</v>
      </c>
      <c r="R50" s="17">
        <v>49</v>
      </c>
    </row>
    <row r="51" spans="1:18" ht="15.75" customHeight="1" x14ac:dyDescent="0.15">
      <c r="A51" s="1">
        <v>74</v>
      </c>
      <c r="B51" s="1" t="s">
        <v>5</v>
      </c>
      <c r="C51" s="1" t="b">
        <v>0</v>
      </c>
      <c r="D51" s="1" t="s">
        <v>105</v>
      </c>
      <c r="E51" s="1" t="s">
        <v>19</v>
      </c>
      <c r="F51" s="41">
        <v>0</v>
      </c>
      <c r="G51" s="37">
        <v>0</v>
      </c>
      <c r="H51" s="94">
        <v>1</v>
      </c>
      <c r="I51" s="95">
        <v>1</v>
      </c>
      <c r="J51" s="44">
        <v>0</v>
      </c>
      <c r="K51" s="12">
        <v>0</v>
      </c>
      <c r="L51" s="64">
        <v>1</v>
      </c>
      <c r="M51" s="65">
        <v>1</v>
      </c>
      <c r="N51" s="46">
        <v>0</v>
      </c>
      <c r="O51" s="14">
        <v>0</v>
      </c>
      <c r="P51" s="47">
        <v>0</v>
      </c>
      <c r="Q51" s="10">
        <v>0</v>
      </c>
      <c r="R51" s="17">
        <v>50</v>
      </c>
    </row>
    <row r="52" spans="1:18" ht="15.75" customHeight="1" x14ac:dyDescent="0.15">
      <c r="F52" s="42">
        <f t="shared" ref="F52:P52" si="0">SUM(F2:F51)</f>
        <v>11</v>
      </c>
      <c r="G52" s="39">
        <f t="shared" ref="G52" si="1">SUM(G2:G51)</f>
        <v>14</v>
      </c>
      <c r="H52" s="42">
        <f>SUM(H2:H51)</f>
        <v>41</v>
      </c>
      <c r="I52" s="27">
        <f t="shared" ref="I52" si="2">SUM(I2:I51)</f>
        <v>38</v>
      </c>
      <c r="J52" s="42">
        <f t="shared" si="0"/>
        <v>31</v>
      </c>
      <c r="K52" s="1">
        <f t="shared" ref="K52" si="3">SUM(K2:K51)</f>
        <v>31</v>
      </c>
      <c r="L52" s="42">
        <f t="shared" si="0"/>
        <v>16</v>
      </c>
      <c r="M52" s="1">
        <f t="shared" ref="M52" si="4">SUM(M2:M51)</f>
        <v>18</v>
      </c>
      <c r="N52" s="42">
        <f t="shared" si="0"/>
        <v>13</v>
      </c>
      <c r="O52" s="1">
        <f t="shared" ref="O52" si="5">SUM(O2:O51)</f>
        <v>15</v>
      </c>
      <c r="P52" s="42">
        <f t="shared" si="0"/>
        <v>2</v>
      </c>
      <c r="Q52" s="1">
        <f t="shared" ref="Q52" si="6">SUM(Q2:Q51)</f>
        <v>1</v>
      </c>
      <c r="R52" s="2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error_analysis_50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Mengyuan Wang</cp:lastModifiedBy>
  <dcterms:created xsi:type="dcterms:W3CDTF">2026-04-02T13:43:55Z</dcterms:created>
  <dcterms:modified xsi:type="dcterms:W3CDTF">2026-05-03T21:29:55Z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280F72A815BD4890A522AD6F3CBA09A0_12</vt:lpwstr>
  </property>
  <property fmtid="{D5CDD505-2E9C-101B-9397-08002B2CF9AE}" pid="3" name="KSOProductBuildVer">
    <vt:lpwstr>2057-12.2.0.23197</vt:lpwstr>
  </property>
</Properties>
</file>