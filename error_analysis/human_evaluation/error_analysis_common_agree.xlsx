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4287E7D4-3A6C-8047-BF3E-BDACBE5B29BB}" xr6:coauthVersionLast="47" xr6:coauthVersionMax="47" xr10:uidLastSave="{00000000-0000-0000-0000-000000000000}"/>
  <bookViews>
    <workbookView xWindow="5380" yWindow="760" windowWidth="24020" windowHeight="1704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 l="1"/>
  <c r="Q52" i="1"/>
  <c r="O52" i="1"/>
  <c r="K52" i="1"/>
  <c r="I52" i="1"/>
  <c r="G52" i="1"/>
  <c r="H52" i="1"/>
  <c r="P52" i="1"/>
  <c r="N52" i="1"/>
  <c r="L52" i="1"/>
  <c r="J52" i="1"/>
  <c r="F52" i="1"/>
</calcChain>
</file>

<file path=xl/sharedStrings.xml><?xml version="1.0" encoding="utf-8"?>
<sst xmlns="http://schemas.openxmlformats.org/spreadsheetml/2006/main" count="155" uniqueCount="118">
  <si>
    <t>index</t>
  </si>
  <si>
    <t>true_label</t>
  </si>
  <si>
    <t>predicted_label</t>
  </si>
  <si>
    <t>claim</t>
  </si>
  <si>
    <t>evidence</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</si>
  <si>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</si>
  <si>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</si>
  <si>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</si>
  <si>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</si>
  <si>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</si>
  <si>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</si>
  <si>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</si>
  <si>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Based on the patient's data where the Heart Rate or Pulse is 139 beats per minute, the QT Interval is 468 msec, the Corrected QT Interval is 673.4 msec.</t>
  </si>
  <si>
    <t>A patient has a heart rate of 139 bpm and a QT interval of 468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</si>
  <si>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</si>
  <si>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</si>
  <si>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</si>
  <si>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</si>
  <si>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</si>
  <si>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</si>
  <si>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Based on the patient's data where the Heart Rate or Pulse is 71 beats per minute, the QT Interval is 430 msec, the Corrected QT Interval is 583.1094 msec.</t>
  </si>
  <si>
    <t>A patient has a heart rate of 61 bpm and a QT interval of 492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</si>
  <si>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</si>
  <si>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</si>
  <si>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</si>
  <si>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</si>
  <si>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</si>
  <si>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</si>
  <si>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</si>
  <si>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</si>
  <si>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Based on the patient's data where the Current Date is 11/16/2007, the Last menstrual date is 02/02/2008, the Estimated Gestational Age is ('4 weeks', '1 days').</t>
  </si>
  <si>
    <t>The patient's last menstrual period was on 10/16/2007. Today's date is 01/24/2008.</t>
  </si>
  <si>
    <t>Based on the patient's data where the Heart Rate or Pulse is 118 beats per minute, the QT Interval is 452 msec, the Corrected QT Interval is 457.6518 msec.</t>
  </si>
  <si>
    <t>A patient has a heart rate of 118 bpm and a QT interval of 452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</si>
  <si>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</si>
  <si>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</si>
  <si>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</si>
  <si>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</si>
  <si>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</si>
  <si>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</si>
  <si>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Based on the patient's data where the input steroid is Cortisone PO 260.997, the target steroid is Betamethasone IV, the Equivalent Steroid Dosage is 7.8299 mg.</t>
  </si>
  <si>
    <t>Patient has taken 260.997 mg of Cortisone PO.</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</si>
  <si>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</si>
  <si>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</si>
  <si>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Based on the patient's data where the Heart Rate or Pulse is 84 beats per minute, the QT Interval is 496 msec, the Corrected QT Interval is 632.3956 msec.</t>
  </si>
  <si>
    <t>A patient has a heart rate of 84 bpm and a QT interval of 496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</si>
  <si>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</si>
  <si>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</si>
  <si>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Based on the patient's data where the Heart Rate or Pulse is 143 beats per minute, the QT Interval is 288 msec, the Corrected QT Interval is 374.4547 msec.</t>
  </si>
  <si>
    <t>A patient has a heart rate of 143 bpm and a QT interval of 288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</si>
  <si>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</si>
  <si>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</si>
  <si>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</si>
  <si>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</si>
  <si>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</si>
  <si>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</si>
  <si>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</si>
  <si>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</si>
  <si>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Based on the patient's data where the Heart Rate or Pulse is 70 beats per minute, the QT Interval is 310 msec, the Corrected QT Interval is 332.0004 msec.</t>
  </si>
  <si>
    <t>A patient has a heart rate of 70 bpm and a QT interval of 310 msec.</t>
  </si>
  <si>
    <t>Based on the patient's data where the Heart Rate or Pulse is 161 beats per minute, the QT Interval is 443 msec, the Corrected QT Interval is 619.7506 msec.</t>
  </si>
  <si>
    <t>A patient has a heart rate of 161 bpm and a QT interval of 443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</si>
  <si>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</si>
  <si>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</si>
  <si>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</si>
  <si>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</si>
  <si>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</si>
  <si>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</si>
  <si>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Based on the patient's data where the Heart Rate or Pulse is 79 beats per minute, the QT Interval is 316 msec, the Corrected QT Interval is 379.915 msec.</t>
  </si>
  <si>
    <t>A patient has a heart rate of 92 bpm and a QT interval of 390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</si>
  <si>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</si>
  <si>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</si>
  <si>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</si>
  <si>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</si>
  <si>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</si>
  <si>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</si>
  <si>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</si>
  <si>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</si>
  <si>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</si>
  <si>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</si>
  <si>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</si>
  <si>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</si>
  <si>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</si>
  <si>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</si>
  <si>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</si>
  <si>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</si>
  <si>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</si>
  <si>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</si>
  <si>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</si>
  <si>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</si>
  <si>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</si>
  <si>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</si>
  <si>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</si>
  <si>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</si>
  <si>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</si>
  <si>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</si>
  <si>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</si>
  <si>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</si>
  <si>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</si>
  <si>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</si>
  <si>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</si>
  <si>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</si>
  <si>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</si>
  <si>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</si>
  <si>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</si>
  <si>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Based on the patient's data where the Glucose is 165.0 mg/dL, the Insulin is 4.8 µIU/mL, the HOMA-IR Score is 2.329.</t>
  </si>
  <si>
    <t>Evelyn - failed parameter extraction</t>
  </si>
  <si>
    <t xml:space="preserve">Evelyn - verification logic errors </t>
  </si>
  <si>
    <t>Evelyn - incorrect formula &amp; criteria application</t>
  </si>
  <si>
    <t>Evelyn - computation errors</t>
  </si>
  <si>
    <t>Evelyn - omitting the calculation process or result</t>
  </si>
  <si>
    <t>Evelyn - other errors</t>
  </si>
  <si>
    <t>WT - verification logic errors</t>
  </si>
  <si>
    <t>WT - failed parameter extraction</t>
  </si>
  <si>
    <t>WT -incorrect formula &amp; criteria application</t>
  </si>
  <si>
    <t>WT - computation errors</t>
  </si>
  <si>
    <t>WT - omitting the calculation process or result</t>
  </si>
  <si>
    <t>WT - other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</si>
</sst>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
      <b/>
      <sz val="10"/>
      <color rgb="FF7030A0"/>
      <name val="Arial"/>
      <family val="2"/>
      <scheme val="minor"/>
    </font>
  </fonts>
  <fills count="21">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theme="6" tint="0.59999389629810485"/>
        <bgColor rgb="FFFFE599"/>
      </patternFill>
    </fill>
    <fill>
      <patternFill patternType="solid">
        <fgColor theme="6" tint="0.59999389629810485"/>
        <bgColor rgb="FFFFF2CC"/>
      </patternFill>
    </fill>
    <fill>
      <patternFill patternType="solid">
        <fgColor theme="6" tint="0.59999389629810485"/>
        <bgColor indexed="64"/>
      </patternFill>
    </fill>
    <fill>
      <patternFill patternType="solid">
        <fgColor rgb="FFB7D7A8"/>
        <bgColor rgb="FFB6D7A8"/>
      </patternFill>
    </fill>
    <fill>
      <patternFill patternType="solid">
        <fgColor rgb="FFB7D7A8"/>
        <bgColor rgb="FFD9EAD3"/>
      </patternFill>
    </fill>
    <fill>
      <patternFill patternType="solid">
        <fgColor rgb="FFB7D7A8"/>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03">
    <xf numFmtId="0" fontId="0" fillId="0" borderId="0" xfId="0"/>
    <xf numFmtId="0" fontId="1" fillId="0" borderId="0" xfId="0" applyFont="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1" borderId="0" xfId="0" applyFill="1"/>
    <xf numFmtId="0" fontId="0" fillId="13" borderId="0" xfId="0" applyFill="1"/>
    <xf numFmtId="0" fontId="0" fillId="14" borderId="0" xfId="0" applyFill="1"/>
    <xf numFmtId="0" fontId="0" fillId="9" borderId="0" xfId="0" applyFill="1" applyAlignment="1">
      <alignment horizontal="center"/>
    </xf>
    <xf numFmtId="0" fontId="4" fillId="9" borderId="0" xfId="0" applyFont="1" applyFill="1" applyAlignment="1">
      <alignment horizontal="center"/>
    </xf>
    <xf numFmtId="0" fontId="3" fillId="11" borderId="0" xfId="0" applyFont="1" applyFill="1"/>
    <xf numFmtId="0" fontId="3" fillId="13" borderId="0" xfId="0" applyFont="1" applyFill="1"/>
    <xf numFmtId="0" fontId="5" fillId="9" borderId="0" xfId="0" applyFont="1" applyFill="1" applyAlignment="1">
      <alignment horizontal="center"/>
    </xf>
    <xf numFmtId="0" fontId="1" fillId="9" borderId="0" xfId="0" applyFont="1" applyFill="1"/>
    <xf numFmtId="0" fontId="2" fillId="15" borderId="0" xfId="0" applyFont="1" applyFill="1"/>
    <xf numFmtId="0" fontId="1" fillId="16" borderId="0" xfId="0" applyFont="1" applyFill="1"/>
    <xf numFmtId="0" fontId="0" fillId="16" borderId="0" xfId="0" applyFill="1"/>
    <xf numFmtId="0" fontId="3" fillId="16" borderId="0" xfId="0" applyFont="1" applyFill="1"/>
    <xf numFmtId="0" fontId="1" fillId="17" borderId="0" xfId="0" applyFont="1" applyFill="1"/>
    <xf numFmtId="0" fontId="0" fillId="17" borderId="0" xfId="0" applyFill="1"/>
    <xf numFmtId="0" fontId="6" fillId="2" borderId="0" xfId="0" applyFont="1" applyFill="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2" fillId="18" borderId="0" xfId="0" applyFont="1" applyFill="1"/>
    <xf numFmtId="0" fontId="1" fillId="19" borderId="0" xfId="0" applyFont="1" applyFill="1"/>
    <xf numFmtId="0" fontId="0" fillId="19" borderId="0" xfId="0" applyFill="1"/>
    <xf numFmtId="0" fontId="3" fillId="19" borderId="0" xfId="0" applyFont="1" applyFill="1"/>
    <xf numFmtId="0" fontId="1" fillId="20" borderId="0" xfId="0" applyFont="1" applyFill="1"/>
    <xf numFmtId="0" fontId="0" fillId="20" borderId="0" xfId="0" applyFill="1"/>
    <xf numFmtId="0" fontId="6" fillId="3" borderId="0" xfId="0" applyFont="1" applyFill="1"/>
    <xf numFmtId="0" fontId="6" fillId="0" borderId="0" xfId="0" applyFont="1"/>
    <xf numFmtId="0" fontId="6" fillId="10" borderId="0" xfId="0" applyFont="1" applyFill="1"/>
    <xf numFmtId="0" fontId="6" fillId="11" borderId="0" xfId="0" applyFont="1" applyFill="1"/>
    <xf numFmtId="0" fontId="6" fillId="12" borderId="0" xfId="0" applyFont="1" applyFill="1"/>
    <xf numFmtId="0" fontId="6" fillId="13" borderId="0" xfId="0" applyFont="1" applyFill="1"/>
    <xf numFmtId="0" fontId="6" fillId="14" borderId="0" xfId="0" applyFont="1" applyFill="1"/>
    <xf numFmtId="0" fontId="6" fillId="3" borderId="1" xfId="0" applyFont="1" applyFill="1" applyBorder="1"/>
    <xf numFmtId="0" fontId="1" fillId="19" borderId="2" xfId="0" applyFont="1" applyFill="1" applyBorder="1"/>
    <xf numFmtId="0" fontId="6" fillId="3" borderId="3" xfId="0" applyFont="1" applyFill="1" applyBorder="1"/>
    <xf numFmtId="0" fontId="6" fillId="3" borderId="5" xfId="0" applyFont="1" applyFill="1" applyBorder="1"/>
    <xf numFmtId="0" fontId="0" fillId="19" borderId="4" xfId="0" applyFill="1" applyBorder="1"/>
    <xf numFmtId="0" fontId="6" fillId="3" borderId="7" xfId="0" applyFont="1" applyFill="1" applyBorder="1"/>
    <xf numFmtId="0" fontId="6" fillId="11" borderId="1" xfId="0" applyFont="1" applyFill="1" applyBorder="1"/>
    <xf numFmtId="0" fontId="6" fillId="11" borderId="5" xfId="0" applyFont="1" applyFill="1" applyBorder="1"/>
    <xf numFmtId="0" fontId="6" fillId="11" borderId="3" xfId="0" applyFont="1" applyFill="1" applyBorder="1"/>
    <xf numFmtId="0" fontId="6" fillId="11" borderId="7" xfId="0" applyFont="1" applyFill="1" applyBorder="1"/>
    <xf numFmtId="0" fontId="0" fillId="11" borderId="9" xfId="0" applyFill="1" applyBorder="1"/>
    <xf numFmtId="0" fontId="6" fillId="13" borderId="7" xfId="0" applyFont="1" applyFill="1" applyBorder="1"/>
    <xf numFmtId="0" fontId="1" fillId="13" borderId="8" xfId="0" applyFont="1" applyFill="1" applyBorder="1"/>
    <xf numFmtId="0" fontId="0" fillId="13" borderId="8" xfId="0" applyFill="1" applyBorder="1"/>
    <xf numFmtId="0" fontId="0" fillId="13" borderId="2" xfId="0" applyFill="1" applyBorder="1"/>
    <xf numFmtId="0" fontId="0" fillId="13" borderId="4" xfId="0" applyFill="1" applyBorder="1"/>
    <xf numFmtId="0" fontId="6" fillId="14" borderId="7" xfId="0" applyFont="1" applyFill="1" applyBorder="1"/>
    <xf numFmtId="0" fontId="3" fillId="14" borderId="8" xfId="0" applyFont="1" applyFill="1" applyBorder="1"/>
    <xf numFmtId="0" fontId="1" fillId="19" borderId="10" xfId="0" applyFont="1" applyFill="1" applyBorder="1"/>
    <xf numFmtId="0" fontId="6" fillId="10" borderId="1" xfId="0" applyFont="1" applyFill="1" applyBorder="1"/>
    <xf numFmtId="0" fontId="1" fillId="16" borderId="2" xfId="0" applyFont="1" applyFill="1" applyBorder="1"/>
    <xf numFmtId="0" fontId="6" fillId="10" borderId="3" xfId="0" applyFont="1" applyFill="1" applyBorder="1"/>
    <xf numFmtId="0" fontId="1" fillId="16" borderId="4" xfId="0" applyFont="1" applyFill="1" applyBorder="1"/>
    <xf numFmtId="0" fontId="6" fillId="11" borderId="10" xfId="0" applyFont="1" applyFill="1" applyBorder="1"/>
    <xf numFmtId="0" fontId="6" fillId="11" borderId="9" xfId="0" applyFont="1" applyFill="1" applyBorder="1"/>
    <xf numFmtId="0" fontId="0" fillId="16" borderId="2" xfId="0" applyFill="1" applyBorder="1"/>
    <xf numFmtId="0" fontId="6" fillId="10" borderId="5" xfId="0" applyFont="1" applyFill="1" applyBorder="1"/>
    <xf numFmtId="0" fontId="0" fillId="16" borderId="6" xfId="0" applyFill="1" applyBorder="1"/>
    <xf numFmtId="0" fontId="0" fillId="16" borderId="4" xfId="0" applyFill="1" applyBorder="1"/>
    <xf numFmtId="0" fontId="6" fillId="10" borderId="7" xfId="0" applyFont="1" applyFill="1" applyBorder="1"/>
    <xf numFmtId="0" fontId="0" fillId="16" borderId="8" xfId="0" applyFill="1" applyBorder="1"/>
    <xf numFmtId="0" fontId="0" fillId="19" borderId="9" xfId="0" applyFill="1" applyBorder="1"/>
    <xf numFmtId="0" fontId="0" fillId="19" borderId="11" xfId="0" applyFill="1" applyBorder="1"/>
    <xf numFmtId="0" fontId="2" fillId="10" borderId="5" xfId="0" applyFont="1" applyFill="1" applyBorder="1"/>
    <xf numFmtId="0" fontId="2" fillId="10" borderId="3" xfId="0" applyFont="1" applyFill="1" applyBorder="1"/>
    <xf numFmtId="0" fontId="2" fillId="10" borderId="1" xfId="0" applyFont="1" applyFill="1" applyBorder="1"/>
    <xf numFmtId="0" fontId="0" fillId="11" borderId="10" xfId="0" applyFill="1" applyBorder="1"/>
    <xf numFmtId="0" fontId="6" fillId="13" borderId="11" xfId="0" applyFont="1" applyFill="1" applyBorder="1"/>
    <xf numFmtId="0" fontId="6" fillId="13" borderId="9" xfId="0" applyFont="1" applyFill="1" applyBorder="1"/>
    <xf numFmtId="0" fontId="6" fillId="13" borderId="10" xfId="0" applyFont="1" applyFill="1" applyBorder="1"/>
    <xf numFmtId="0" fontId="0" fillId="12" borderId="0" xfId="0" applyFill="1"/>
    <xf numFmtId="0" fontId="3" fillId="12" borderId="0" xfId="0" applyFont="1" applyFill="1"/>
    <xf numFmtId="0" fontId="6" fillId="12" borderId="1" xfId="0" applyFont="1" applyFill="1" applyBorder="1"/>
    <xf numFmtId="0" fontId="1" fillId="12" borderId="2" xfId="0" applyFont="1" applyFill="1" applyBorder="1"/>
    <xf numFmtId="0" fontId="6" fillId="12" borderId="3" xfId="0" applyFont="1" applyFill="1" applyBorder="1"/>
    <xf numFmtId="0" fontId="1" fillId="12" borderId="4" xfId="0" applyFont="1" applyFill="1" applyBorder="1"/>
    <xf numFmtId="0" fontId="1" fillId="11" borderId="2" xfId="0" applyFont="1" applyFill="1" applyBorder="1"/>
    <xf numFmtId="0" fontId="1" fillId="11" borderId="6" xfId="0" applyFont="1" applyFill="1" applyBorder="1"/>
    <xf numFmtId="0" fontId="0" fillId="11" borderId="4" xfId="0" applyFill="1" applyBorder="1"/>
    <xf numFmtId="0" fontId="0" fillId="11" borderId="2" xfId="0" applyFill="1" applyBorder="1"/>
    <xf numFmtId="0" fontId="0" fillId="11" borderId="6" xfId="0" applyFill="1" applyBorder="1"/>
    <xf numFmtId="0" fontId="6" fillId="12" borderId="7" xfId="0" applyFont="1" applyFill="1" applyBorder="1"/>
    <xf numFmtId="0" fontId="1" fillId="12" borderId="8" xfId="0" applyFont="1" applyFill="1" applyBorder="1"/>
    <xf numFmtId="0" fontId="0" fillId="12" borderId="8" xfId="0" applyFill="1" applyBorder="1"/>
    <xf numFmtId="0" fontId="0" fillId="16" borderId="10" xfId="0" applyFill="1" applyBorder="1"/>
    <xf numFmtId="0" fontId="6" fillId="12" borderId="11" xfId="0" applyFont="1" applyFill="1" applyBorder="1"/>
    <xf numFmtId="0" fontId="0" fillId="11" borderId="8" xfId="0" applyFill="1" applyBorder="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B7D7A8"/>
      <color rgb="FFD9E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2"/>
  <sheetViews>
    <sheetView tabSelected="1" topLeftCell="D19" workbookViewId="0">
      <selection activeCell="L54" sqref="L54"/>
    </sheetView>
  </sheetViews>
  <sheetFormatPr baseColWidth="10" defaultColWidth="12.6640625" defaultRowHeight="15.75" customHeight="1" x14ac:dyDescent="0.15"/>
  <cols>
    <col min="1" max="1" width="5.83203125" customWidth="1"/>
    <col min="2" max="5" width="12.6640625" customWidth="1"/>
    <col min="6" max="6" width="16.1640625" style="40" customWidth="1"/>
    <col min="7" max="7" width="16.1640625" style="38" customWidth="1"/>
    <col min="8" max="8" width="16.1640625" style="40" customWidth="1"/>
    <col min="9" max="9" width="16.1640625" style="26" customWidth="1"/>
    <col min="10" max="10" width="16.33203125" style="40" customWidth="1"/>
    <col min="11" max="11" width="16.6640625" customWidth="1"/>
    <col min="12" max="12" width="16.1640625" style="40" customWidth="1"/>
    <col min="13" max="13" width="16.6640625" customWidth="1"/>
    <col min="14" max="14" width="16.1640625" style="40" customWidth="1"/>
    <col min="15" max="15" width="19.83203125" customWidth="1"/>
    <col min="16" max="16" width="16.1640625" style="40" customWidth="1"/>
    <col min="17" max="17" width="21.83203125" customWidth="1"/>
    <col min="18" max="18" width="14.1640625" customWidth="1"/>
    <col min="19" max="19" width="26.1640625" customWidth="1"/>
  </cols>
  <sheetData>
    <row r="1" spans="1:18" ht="15.75" customHeight="1" x14ac:dyDescent="0.15">
      <c r="A1" s="1" t="s">
        <v>0</v>
      </c>
      <c r="B1" s="1" t="s">
        <v>1</v>
      </c>
      <c r="C1" s="1" t="s">
        <v>2</v>
      </c>
      <c r="D1" s="1" t="s">
        <v>3</v>
      </c>
      <c r="E1" s="1" t="s">
        <v>4</v>
      </c>
      <c r="F1" s="27" t="s">
        <v>106</v>
      </c>
      <c r="G1" s="33" t="s">
        <v>113</v>
      </c>
      <c r="H1" s="28" t="s">
        <v>107</v>
      </c>
      <c r="I1" s="21" t="s">
        <v>112</v>
      </c>
      <c r="J1" s="29" t="s">
        <v>108</v>
      </c>
      <c r="K1" s="2" t="s">
        <v>114</v>
      </c>
      <c r="L1" s="30" t="s">
        <v>109</v>
      </c>
      <c r="M1" s="3" t="s">
        <v>115</v>
      </c>
      <c r="N1" s="31" t="s">
        <v>110</v>
      </c>
      <c r="O1" s="4" t="s">
        <v>116</v>
      </c>
      <c r="P1" s="32" t="s">
        <v>111</v>
      </c>
      <c r="Q1" s="5" t="s">
        <v>117</v>
      </c>
      <c r="R1" s="6"/>
    </row>
    <row r="2" spans="1:18" ht="15.75" customHeight="1" x14ac:dyDescent="0.15">
      <c r="A2" s="1">
        <v>77</v>
      </c>
      <c r="B2" s="1" t="s">
        <v>5</v>
      </c>
      <c r="C2" s="1" t="b">
        <v>0</v>
      </c>
      <c r="D2" s="1" t="s">
        <v>6</v>
      </c>
      <c r="E2" s="1" t="s">
        <v>7</v>
      </c>
      <c r="F2" s="46">
        <v>1</v>
      </c>
      <c r="G2" s="47">
        <v>1</v>
      </c>
      <c r="H2" s="41">
        <v>0</v>
      </c>
      <c r="I2" s="22">
        <v>0</v>
      </c>
      <c r="J2" s="42">
        <v>0</v>
      </c>
      <c r="K2" s="7">
        <v>0</v>
      </c>
      <c r="L2" s="43">
        <v>0</v>
      </c>
      <c r="M2" s="8">
        <v>0</v>
      </c>
      <c r="N2" s="57">
        <v>1</v>
      </c>
      <c r="O2" s="58">
        <v>1</v>
      </c>
      <c r="P2" s="45">
        <v>0</v>
      </c>
      <c r="Q2" s="10">
        <v>0</v>
      </c>
      <c r="R2" s="11">
        <v>1</v>
      </c>
    </row>
    <row r="3" spans="1:18" ht="15.75" customHeight="1" x14ac:dyDescent="0.15">
      <c r="A3" s="1">
        <v>44</v>
      </c>
      <c r="B3" s="1" t="s">
        <v>5</v>
      </c>
      <c r="C3" s="1" t="b">
        <v>0</v>
      </c>
      <c r="D3" s="1" t="s">
        <v>8</v>
      </c>
      <c r="E3" s="1" t="s">
        <v>9</v>
      </c>
      <c r="F3" s="48">
        <v>1</v>
      </c>
      <c r="G3" s="64">
        <v>1</v>
      </c>
      <c r="H3" s="65">
        <v>1</v>
      </c>
      <c r="I3" s="66">
        <v>1</v>
      </c>
      <c r="J3" s="52">
        <v>1</v>
      </c>
      <c r="K3" s="92">
        <v>1</v>
      </c>
      <c r="L3" s="43">
        <v>0</v>
      </c>
      <c r="M3" s="8">
        <v>0</v>
      </c>
      <c r="N3" s="44">
        <v>0</v>
      </c>
      <c r="O3" s="9">
        <v>0</v>
      </c>
      <c r="P3" s="45">
        <v>0</v>
      </c>
      <c r="Q3" s="10">
        <v>0</v>
      </c>
      <c r="R3" s="11">
        <v>2</v>
      </c>
    </row>
    <row r="4" spans="1:18" ht="15.75" customHeight="1" x14ac:dyDescent="0.15">
      <c r="A4" s="1">
        <v>98</v>
      </c>
      <c r="B4" s="1" t="s">
        <v>5</v>
      </c>
      <c r="C4" s="1" t="b">
        <v>0</v>
      </c>
      <c r="D4" s="1" t="s">
        <v>10</v>
      </c>
      <c r="E4" s="1" t="s">
        <v>11</v>
      </c>
      <c r="F4" s="39">
        <v>0</v>
      </c>
      <c r="G4" s="34">
        <v>0</v>
      </c>
      <c r="H4" s="67">
        <v>1</v>
      </c>
      <c r="I4" s="68">
        <v>1</v>
      </c>
      <c r="J4" s="53">
        <v>1</v>
      </c>
      <c r="K4" s="93">
        <v>1</v>
      </c>
      <c r="L4" s="43">
        <v>0</v>
      </c>
      <c r="M4" s="8">
        <v>0</v>
      </c>
      <c r="N4" s="44">
        <v>0</v>
      </c>
      <c r="O4" s="9">
        <v>0</v>
      </c>
      <c r="P4" s="45">
        <v>0</v>
      </c>
      <c r="Q4" s="10">
        <v>0</v>
      </c>
      <c r="R4" s="11">
        <v>3</v>
      </c>
    </row>
    <row r="5" spans="1:18" ht="15.75" customHeight="1" x14ac:dyDescent="0.15">
      <c r="A5" s="1">
        <v>123</v>
      </c>
      <c r="B5" s="1" t="b">
        <v>1</v>
      </c>
      <c r="C5" s="1" t="s">
        <v>5</v>
      </c>
      <c r="D5" s="1" t="s">
        <v>12</v>
      </c>
      <c r="E5" s="1" t="s">
        <v>13</v>
      </c>
      <c r="F5" s="39">
        <v>0</v>
      </c>
      <c r="G5" s="35">
        <v>0</v>
      </c>
      <c r="H5" s="41">
        <v>0</v>
      </c>
      <c r="I5" s="23">
        <v>0</v>
      </c>
      <c r="J5" s="54">
        <v>1</v>
      </c>
      <c r="K5" s="94">
        <v>1</v>
      </c>
      <c r="L5" s="43">
        <v>0</v>
      </c>
      <c r="M5" s="8">
        <v>0</v>
      </c>
      <c r="N5" s="44">
        <v>0</v>
      </c>
      <c r="O5" s="13">
        <v>0</v>
      </c>
      <c r="P5" s="45">
        <v>0</v>
      </c>
      <c r="Q5" s="14">
        <v>0</v>
      </c>
      <c r="R5" s="15">
        <v>4</v>
      </c>
    </row>
    <row r="6" spans="1:18" ht="15.75" customHeight="1" x14ac:dyDescent="0.15">
      <c r="A6" s="1">
        <v>2</v>
      </c>
      <c r="B6" s="1" t="s">
        <v>5</v>
      </c>
      <c r="C6" s="1" t="b">
        <v>1</v>
      </c>
      <c r="D6" s="1" t="s">
        <v>14</v>
      </c>
      <c r="E6" s="1" t="s">
        <v>15</v>
      </c>
      <c r="F6" s="39">
        <v>0</v>
      </c>
      <c r="G6" s="35">
        <v>0</v>
      </c>
      <c r="H6" s="41">
        <v>1</v>
      </c>
      <c r="I6" s="23">
        <v>0</v>
      </c>
      <c r="J6" s="42">
        <v>0</v>
      </c>
      <c r="K6" s="12">
        <v>0</v>
      </c>
      <c r="L6" s="43">
        <v>0</v>
      </c>
      <c r="M6" s="86">
        <v>0</v>
      </c>
      <c r="N6" s="83">
        <v>1</v>
      </c>
      <c r="O6" s="59">
        <v>1</v>
      </c>
      <c r="P6" s="45">
        <v>0</v>
      </c>
      <c r="Q6" s="10">
        <v>0</v>
      </c>
      <c r="R6" s="16">
        <v>5</v>
      </c>
    </row>
    <row r="7" spans="1:18" ht="15.75" customHeight="1" x14ac:dyDescent="0.15">
      <c r="A7" s="1">
        <v>53</v>
      </c>
      <c r="B7" s="1" t="s">
        <v>5</v>
      </c>
      <c r="C7" s="1" t="b">
        <v>1</v>
      </c>
      <c r="D7" s="1" t="s">
        <v>16</v>
      </c>
      <c r="E7" s="1" t="s">
        <v>17</v>
      </c>
      <c r="F7" s="39">
        <v>0</v>
      </c>
      <c r="G7" s="35">
        <v>1</v>
      </c>
      <c r="H7" s="41">
        <v>0</v>
      </c>
      <c r="I7" s="23">
        <v>0</v>
      </c>
      <c r="J7" s="52">
        <v>1</v>
      </c>
      <c r="K7" s="56">
        <v>1</v>
      </c>
      <c r="L7" s="88">
        <v>1</v>
      </c>
      <c r="M7" s="89">
        <v>1</v>
      </c>
      <c r="N7" s="44">
        <v>0</v>
      </c>
      <c r="O7" s="13">
        <v>0</v>
      </c>
      <c r="P7" s="45">
        <v>0</v>
      </c>
      <c r="Q7" s="10">
        <v>0</v>
      </c>
      <c r="R7" s="16">
        <v>6</v>
      </c>
    </row>
    <row r="8" spans="1:18" ht="15.75" customHeight="1" x14ac:dyDescent="0.15">
      <c r="A8" s="1">
        <v>75</v>
      </c>
      <c r="B8" s="1" t="b">
        <v>1</v>
      </c>
      <c r="C8" s="1" t="b">
        <v>0</v>
      </c>
      <c r="D8" s="1" t="s">
        <v>18</v>
      </c>
      <c r="E8" s="1" t="s">
        <v>19</v>
      </c>
      <c r="F8" s="39">
        <v>0</v>
      </c>
      <c r="G8" s="35">
        <v>0</v>
      </c>
      <c r="H8" s="65">
        <v>1</v>
      </c>
      <c r="I8" s="71">
        <v>1</v>
      </c>
      <c r="J8" s="69">
        <v>1</v>
      </c>
      <c r="K8" s="82">
        <v>1</v>
      </c>
      <c r="L8" s="90">
        <v>1</v>
      </c>
      <c r="M8" s="91">
        <v>1</v>
      </c>
      <c r="N8" s="44">
        <v>0</v>
      </c>
      <c r="O8" s="13">
        <v>0</v>
      </c>
      <c r="P8" s="45">
        <v>0</v>
      </c>
      <c r="Q8" s="10">
        <v>0</v>
      </c>
      <c r="R8" s="16">
        <v>7</v>
      </c>
    </row>
    <row r="9" spans="1:18" ht="15.75" customHeight="1" x14ac:dyDescent="0.15">
      <c r="A9" s="1">
        <v>118</v>
      </c>
      <c r="B9" s="1" t="b">
        <v>0</v>
      </c>
      <c r="C9" s="1" t="s">
        <v>5</v>
      </c>
      <c r="D9" s="1" t="s">
        <v>20</v>
      </c>
      <c r="E9" s="1" t="s">
        <v>21</v>
      </c>
      <c r="F9" s="39">
        <v>1</v>
      </c>
      <c r="G9" s="35">
        <v>0</v>
      </c>
      <c r="H9" s="80">
        <v>1</v>
      </c>
      <c r="I9" s="74">
        <v>1</v>
      </c>
      <c r="J9" s="42">
        <v>0</v>
      </c>
      <c r="K9" s="12">
        <v>0</v>
      </c>
      <c r="L9" s="43">
        <v>0</v>
      </c>
      <c r="M9" s="86">
        <v>0</v>
      </c>
      <c r="N9" s="83">
        <v>1</v>
      </c>
      <c r="O9" s="59">
        <v>1</v>
      </c>
      <c r="P9" s="45">
        <v>0</v>
      </c>
      <c r="Q9" s="14">
        <v>0</v>
      </c>
      <c r="R9" s="16">
        <v>8</v>
      </c>
    </row>
    <row r="10" spans="1:18" ht="15.75" customHeight="1" x14ac:dyDescent="0.15">
      <c r="A10" s="1">
        <v>26</v>
      </c>
      <c r="B10" s="1" t="s">
        <v>5</v>
      </c>
      <c r="C10" s="1" t="b">
        <v>0</v>
      </c>
      <c r="D10" s="1" t="s">
        <v>22</v>
      </c>
      <c r="E10" s="1" t="s">
        <v>23</v>
      </c>
      <c r="F10" s="39">
        <v>0</v>
      </c>
      <c r="G10" s="35">
        <v>0</v>
      </c>
      <c r="H10" s="79">
        <v>0</v>
      </c>
      <c r="I10" s="73">
        <v>1</v>
      </c>
      <c r="J10" s="52">
        <v>1</v>
      </c>
      <c r="K10" s="95">
        <v>1</v>
      </c>
      <c r="L10" s="43">
        <v>0</v>
      </c>
      <c r="M10" s="86">
        <v>0</v>
      </c>
      <c r="N10" s="44">
        <v>0</v>
      </c>
      <c r="O10" s="13">
        <v>0</v>
      </c>
      <c r="P10" s="45">
        <v>0</v>
      </c>
      <c r="Q10" s="10">
        <v>0</v>
      </c>
      <c r="R10" s="16">
        <v>9</v>
      </c>
    </row>
    <row r="11" spans="1:18" ht="15.75" customHeight="1" x14ac:dyDescent="0.15">
      <c r="A11" s="1">
        <v>83</v>
      </c>
      <c r="B11" s="1" t="s">
        <v>5</v>
      </c>
      <c r="C11" s="1" t="b">
        <v>0</v>
      </c>
      <c r="D11" s="1" t="s">
        <v>24</v>
      </c>
      <c r="E11" s="1" t="s">
        <v>25</v>
      </c>
      <c r="F11" s="39">
        <v>0</v>
      </c>
      <c r="G11" s="35">
        <v>1</v>
      </c>
      <c r="H11" s="65">
        <v>1</v>
      </c>
      <c r="I11" s="71">
        <v>1</v>
      </c>
      <c r="J11" s="53">
        <v>1</v>
      </c>
      <c r="K11" s="96">
        <v>1</v>
      </c>
      <c r="L11" s="97">
        <v>1</v>
      </c>
      <c r="M11" s="98">
        <v>1</v>
      </c>
      <c r="N11" s="44">
        <v>0</v>
      </c>
      <c r="O11" s="13">
        <v>0</v>
      </c>
      <c r="P11" s="45">
        <v>0</v>
      </c>
      <c r="Q11" s="10">
        <v>0</v>
      </c>
      <c r="R11" s="16">
        <v>10</v>
      </c>
    </row>
    <row r="12" spans="1:18" ht="15.75" customHeight="1" x14ac:dyDescent="0.15">
      <c r="A12" s="1">
        <v>141</v>
      </c>
      <c r="B12" s="1" t="b">
        <v>1</v>
      </c>
      <c r="C12" s="1" t="b">
        <v>0</v>
      </c>
      <c r="D12" s="1" t="s">
        <v>26</v>
      </c>
      <c r="E12" s="1" t="s">
        <v>27</v>
      </c>
      <c r="F12" s="39">
        <v>0</v>
      </c>
      <c r="G12" s="35">
        <v>0</v>
      </c>
      <c r="H12" s="72">
        <v>1</v>
      </c>
      <c r="I12" s="73">
        <v>1</v>
      </c>
      <c r="J12" s="54">
        <v>1</v>
      </c>
      <c r="K12" s="94">
        <v>1</v>
      </c>
      <c r="L12" s="43">
        <v>0</v>
      </c>
      <c r="M12" s="86">
        <v>0</v>
      </c>
      <c r="N12" s="44">
        <v>0</v>
      </c>
      <c r="O12" s="13">
        <v>0</v>
      </c>
      <c r="P12" s="45">
        <v>0</v>
      </c>
      <c r="Q12" s="10">
        <v>0</v>
      </c>
      <c r="R12" s="16">
        <v>11</v>
      </c>
    </row>
    <row r="13" spans="1:18" ht="15.75" customHeight="1" x14ac:dyDescent="0.15">
      <c r="A13" s="1">
        <v>69</v>
      </c>
      <c r="B13" s="1" t="b">
        <v>1</v>
      </c>
      <c r="C13" s="1" t="s">
        <v>5</v>
      </c>
      <c r="D13" s="1" t="s">
        <v>28</v>
      </c>
      <c r="E13" s="1" t="s">
        <v>29</v>
      </c>
      <c r="F13" s="39">
        <v>0</v>
      </c>
      <c r="G13" s="35">
        <v>0</v>
      </c>
      <c r="H13" s="72">
        <v>1</v>
      </c>
      <c r="I13" s="73">
        <v>1</v>
      </c>
      <c r="J13" s="42">
        <v>0</v>
      </c>
      <c r="K13" s="12">
        <v>1</v>
      </c>
      <c r="L13" s="43">
        <v>0</v>
      </c>
      <c r="M13" s="86">
        <v>0</v>
      </c>
      <c r="N13" s="83">
        <v>1</v>
      </c>
      <c r="O13" s="59">
        <v>1</v>
      </c>
      <c r="P13" s="45">
        <v>0</v>
      </c>
      <c r="Q13" s="14">
        <v>0</v>
      </c>
      <c r="R13" s="16">
        <v>12</v>
      </c>
    </row>
    <row r="14" spans="1:18" ht="15.75" customHeight="1" x14ac:dyDescent="0.15">
      <c r="A14" s="1">
        <v>151</v>
      </c>
      <c r="B14" s="1" t="b">
        <v>0</v>
      </c>
      <c r="C14" s="1" t="s">
        <v>5</v>
      </c>
      <c r="D14" s="1" t="s">
        <v>30</v>
      </c>
      <c r="E14" s="1" t="s">
        <v>31</v>
      </c>
      <c r="F14" s="39">
        <v>0</v>
      </c>
      <c r="G14" s="35">
        <v>0</v>
      </c>
      <c r="H14" s="72">
        <v>1</v>
      </c>
      <c r="I14" s="73">
        <v>1</v>
      </c>
      <c r="J14" s="42">
        <v>0</v>
      </c>
      <c r="K14" s="12">
        <v>0</v>
      </c>
      <c r="L14" s="43">
        <v>0</v>
      </c>
      <c r="M14" s="86">
        <v>0</v>
      </c>
      <c r="N14" s="44">
        <v>0</v>
      </c>
      <c r="O14" s="13">
        <v>0</v>
      </c>
      <c r="P14" s="45">
        <v>0</v>
      </c>
      <c r="Q14" s="10">
        <v>0</v>
      </c>
      <c r="R14" s="16">
        <v>13</v>
      </c>
    </row>
    <row r="15" spans="1:18" ht="15.75" customHeight="1" x14ac:dyDescent="0.15">
      <c r="A15" s="1">
        <v>113</v>
      </c>
      <c r="B15" s="1" t="s">
        <v>5</v>
      </c>
      <c r="C15" s="1" t="b">
        <v>0</v>
      </c>
      <c r="D15" s="1" t="s">
        <v>32</v>
      </c>
      <c r="E15" s="1" t="s">
        <v>33</v>
      </c>
      <c r="F15" s="39">
        <v>0</v>
      </c>
      <c r="G15" s="35">
        <v>0</v>
      </c>
      <c r="H15" s="72">
        <v>1</v>
      </c>
      <c r="I15" s="73">
        <v>1</v>
      </c>
      <c r="J15" s="70">
        <v>1</v>
      </c>
      <c r="K15" s="56">
        <v>1</v>
      </c>
      <c r="L15" s="43">
        <v>0</v>
      </c>
      <c r="M15" s="86">
        <v>0</v>
      </c>
      <c r="N15" s="44">
        <v>0</v>
      </c>
      <c r="O15" s="13">
        <v>0</v>
      </c>
      <c r="P15" s="45">
        <v>0</v>
      </c>
      <c r="Q15" s="10">
        <v>0</v>
      </c>
      <c r="R15" s="16">
        <v>14</v>
      </c>
    </row>
    <row r="16" spans="1:18" ht="15.75" customHeight="1" x14ac:dyDescent="0.15">
      <c r="A16" s="1">
        <v>29</v>
      </c>
      <c r="B16" s="1" t="s">
        <v>5</v>
      </c>
      <c r="C16" s="1" t="b">
        <v>1</v>
      </c>
      <c r="D16" s="1" t="s">
        <v>34</v>
      </c>
      <c r="E16" s="1" t="s">
        <v>35</v>
      </c>
      <c r="F16" s="39">
        <v>0</v>
      </c>
      <c r="G16" s="35">
        <v>0</v>
      </c>
      <c r="H16" s="79">
        <v>1</v>
      </c>
      <c r="I16" s="73">
        <v>1</v>
      </c>
      <c r="J16" s="69">
        <v>1</v>
      </c>
      <c r="K16" s="82">
        <v>1</v>
      </c>
      <c r="L16" s="43">
        <v>0</v>
      </c>
      <c r="M16" s="86">
        <v>0</v>
      </c>
      <c r="N16" s="44">
        <v>0</v>
      </c>
      <c r="O16" s="13">
        <v>0</v>
      </c>
      <c r="P16" s="45">
        <v>0</v>
      </c>
      <c r="Q16" s="10">
        <v>0</v>
      </c>
      <c r="R16" s="16">
        <v>15</v>
      </c>
    </row>
    <row r="17" spans="1:18" ht="15.75" customHeight="1" x14ac:dyDescent="0.15">
      <c r="A17" s="1">
        <v>11</v>
      </c>
      <c r="B17" s="1" t="s">
        <v>5</v>
      </c>
      <c r="C17" s="1" t="b">
        <v>0</v>
      </c>
      <c r="D17" s="1" t="s">
        <v>36</v>
      </c>
      <c r="E17" s="1" t="s">
        <v>37</v>
      </c>
      <c r="F17" s="39">
        <v>0</v>
      </c>
      <c r="G17" s="35">
        <v>0</v>
      </c>
      <c r="H17" s="72">
        <v>1</v>
      </c>
      <c r="I17" s="73">
        <v>1</v>
      </c>
      <c r="J17" s="42">
        <v>0</v>
      </c>
      <c r="K17" s="12">
        <v>0</v>
      </c>
      <c r="L17" s="43">
        <v>0</v>
      </c>
      <c r="M17" s="86">
        <v>0</v>
      </c>
      <c r="N17" s="44">
        <v>0</v>
      </c>
      <c r="O17" s="13">
        <v>0</v>
      </c>
      <c r="P17" s="45">
        <v>0</v>
      </c>
      <c r="Q17" s="14">
        <v>0</v>
      </c>
      <c r="R17" s="16">
        <v>16</v>
      </c>
    </row>
    <row r="18" spans="1:18" ht="15.75" customHeight="1" x14ac:dyDescent="0.15">
      <c r="A18" s="1">
        <v>36</v>
      </c>
      <c r="B18" s="1" t="b">
        <v>1</v>
      </c>
      <c r="C18" s="1" t="b">
        <v>0</v>
      </c>
      <c r="D18" s="1" t="s">
        <v>38</v>
      </c>
      <c r="E18" s="1" t="s">
        <v>39</v>
      </c>
      <c r="F18" s="39">
        <v>0</v>
      </c>
      <c r="G18" s="35">
        <v>0</v>
      </c>
      <c r="H18" s="72">
        <v>1</v>
      </c>
      <c r="I18" s="73">
        <v>1</v>
      </c>
      <c r="J18" s="42">
        <v>1</v>
      </c>
      <c r="K18" s="12">
        <v>0</v>
      </c>
      <c r="L18" s="43">
        <v>0</v>
      </c>
      <c r="M18" s="86">
        <v>0</v>
      </c>
      <c r="N18" s="44">
        <v>0</v>
      </c>
      <c r="O18" s="13">
        <v>1</v>
      </c>
      <c r="P18" s="45">
        <v>0</v>
      </c>
      <c r="Q18" s="10">
        <v>0</v>
      </c>
      <c r="R18" s="16">
        <v>17</v>
      </c>
    </row>
    <row r="19" spans="1:18" ht="15.75" customHeight="1" x14ac:dyDescent="0.15">
      <c r="A19" s="1">
        <v>57</v>
      </c>
      <c r="B19" s="1" t="b">
        <v>1</v>
      </c>
      <c r="C19" s="1" t="b">
        <v>0</v>
      </c>
      <c r="D19" s="1" t="s">
        <v>40</v>
      </c>
      <c r="E19" s="1" t="s">
        <v>41</v>
      </c>
      <c r="F19" s="39">
        <v>0</v>
      </c>
      <c r="G19" s="35">
        <v>0</v>
      </c>
      <c r="H19" s="80">
        <v>1</v>
      </c>
      <c r="I19" s="100">
        <v>1</v>
      </c>
      <c r="J19" s="55">
        <v>1</v>
      </c>
      <c r="K19" s="102">
        <v>1</v>
      </c>
      <c r="L19" s="43">
        <v>0</v>
      </c>
      <c r="M19" s="86">
        <v>0</v>
      </c>
      <c r="N19" s="44">
        <v>0</v>
      </c>
      <c r="O19" s="13">
        <v>0</v>
      </c>
      <c r="P19" s="45">
        <v>0</v>
      </c>
      <c r="Q19" s="10">
        <v>0</v>
      </c>
      <c r="R19" s="16">
        <v>18</v>
      </c>
    </row>
    <row r="20" spans="1:18" ht="15.75" customHeight="1" x14ac:dyDescent="0.15">
      <c r="A20" s="1">
        <v>89</v>
      </c>
      <c r="B20" s="1" t="s">
        <v>5</v>
      </c>
      <c r="C20" s="1" t="b">
        <v>1</v>
      </c>
      <c r="D20" s="1" t="s">
        <v>42</v>
      </c>
      <c r="E20" s="1" t="s">
        <v>43</v>
      </c>
      <c r="F20" s="39">
        <v>0</v>
      </c>
      <c r="G20" s="35">
        <v>0</v>
      </c>
      <c r="H20" s="41">
        <v>0</v>
      </c>
      <c r="I20" s="23">
        <v>0</v>
      </c>
      <c r="J20" s="54">
        <v>0</v>
      </c>
      <c r="K20" s="94">
        <v>0</v>
      </c>
      <c r="L20" s="101">
        <v>1</v>
      </c>
      <c r="M20" s="99">
        <v>1</v>
      </c>
      <c r="N20" s="44">
        <v>0</v>
      </c>
      <c r="O20" s="13">
        <v>0</v>
      </c>
      <c r="P20" s="45">
        <v>0</v>
      </c>
      <c r="Q20" s="10">
        <v>0</v>
      </c>
      <c r="R20" s="16">
        <v>19</v>
      </c>
    </row>
    <row r="21" spans="1:18" ht="15.75" customHeight="1" x14ac:dyDescent="0.15">
      <c r="A21" s="1">
        <v>116</v>
      </c>
      <c r="B21" s="1" t="s">
        <v>5</v>
      </c>
      <c r="C21" s="1" t="b">
        <v>0</v>
      </c>
      <c r="D21" s="1" t="s">
        <v>44</v>
      </c>
      <c r="E21" s="1" t="s">
        <v>45</v>
      </c>
      <c r="F21" s="39">
        <v>0</v>
      </c>
      <c r="G21" s="35">
        <v>0</v>
      </c>
      <c r="H21" s="75">
        <v>1</v>
      </c>
      <c r="I21" s="76">
        <v>1</v>
      </c>
      <c r="J21" s="52">
        <v>1</v>
      </c>
      <c r="K21" s="56">
        <v>1</v>
      </c>
      <c r="L21" s="43">
        <v>0</v>
      </c>
      <c r="M21" s="86">
        <v>0</v>
      </c>
      <c r="N21" s="44">
        <v>0</v>
      </c>
      <c r="O21" s="13">
        <v>0</v>
      </c>
      <c r="P21" s="45">
        <v>0</v>
      </c>
      <c r="Q21" s="14">
        <v>0</v>
      </c>
      <c r="R21" s="16">
        <v>20</v>
      </c>
    </row>
    <row r="22" spans="1:18" ht="15.75" customHeight="1" x14ac:dyDescent="0.15">
      <c r="A22" s="1">
        <v>32</v>
      </c>
      <c r="B22" s="1" t="s">
        <v>5</v>
      </c>
      <c r="C22" s="1" t="b">
        <v>1</v>
      </c>
      <c r="D22" s="1" t="s">
        <v>46</v>
      </c>
      <c r="E22" s="1" t="s">
        <v>47</v>
      </c>
      <c r="F22" s="39">
        <v>0</v>
      </c>
      <c r="G22" s="35">
        <v>0</v>
      </c>
      <c r="H22" s="41">
        <v>0</v>
      </c>
      <c r="I22" s="23">
        <v>0</v>
      </c>
      <c r="J22" s="53">
        <v>1</v>
      </c>
      <c r="K22" s="12">
        <v>1</v>
      </c>
      <c r="L22" s="43">
        <v>0</v>
      </c>
      <c r="M22" s="86">
        <v>0</v>
      </c>
      <c r="N22" s="44">
        <v>0</v>
      </c>
      <c r="O22" s="13">
        <v>0</v>
      </c>
      <c r="P22" s="45">
        <v>0</v>
      </c>
      <c r="Q22" s="10">
        <v>0</v>
      </c>
      <c r="R22" s="16">
        <v>21</v>
      </c>
    </row>
    <row r="23" spans="1:18" ht="15.75" customHeight="1" x14ac:dyDescent="0.15">
      <c r="A23" s="1">
        <v>119</v>
      </c>
      <c r="B23" s="1" t="s">
        <v>5</v>
      </c>
      <c r="C23" s="1" t="b">
        <v>0</v>
      </c>
      <c r="D23" s="1" t="s">
        <v>48</v>
      </c>
      <c r="E23" s="1" t="s">
        <v>49</v>
      </c>
      <c r="F23" s="39">
        <v>0</v>
      </c>
      <c r="G23" s="35">
        <v>0</v>
      </c>
      <c r="H23" s="65">
        <v>1</v>
      </c>
      <c r="I23" s="71">
        <v>1</v>
      </c>
      <c r="J23" s="53">
        <v>1</v>
      </c>
      <c r="K23" s="12">
        <v>1</v>
      </c>
      <c r="L23" s="43">
        <v>0</v>
      </c>
      <c r="M23" s="86">
        <v>0</v>
      </c>
      <c r="N23" s="44">
        <v>0</v>
      </c>
      <c r="O23" s="13">
        <v>0</v>
      </c>
      <c r="P23" s="45">
        <v>0</v>
      </c>
      <c r="Q23" s="10">
        <v>0</v>
      </c>
      <c r="R23" s="16">
        <v>22</v>
      </c>
    </row>
    <row r="24" spans="1:18" ht="15.75" customHeight="1" x14ac:dyDescent="0.15">
      <c r="A24" s="1">
        <v>134</v>
      </c>
      <c r="B24" s="1" t="s">
        <v>5</v>
      </c>
      <c r="C24" s="1" t="b">
        <v>0</v>
      </c>
      <c r="D24" s="1" t="s">
        <v>50</v>
      </c>
      <c r="E24" s="1" t="s">
        <v>51</v>
      </c>
      <c r="F24" s="39">
        <v>0</v>
      </c>
      <c r="G24" s="35">
        <v>0</v>
      </c>
      <c r="H24" s="72">
        <v>1</v>
      </c>
      <c r="I24" s="73">
        <v>1</v>
      </c>
      <c r="J24" s="53">
        <v>1</v>
      </c>
      <c r="K24" s="12">
        <v>1</v>
      </c>
      <c r="L24" s="43">
        <v>0</v>
      </c>
      <c r="M24" s="86">
        <v>0</v>
      </c>
      <c r="N24" s="44">
        <v>0</v>
      </c>
      <c r="O24" s="13">
        <v>0</v>
      </c>
      <c r="P24" s="45">
        <v>0</v>
      </c>
      <c r="Q24" s="10">
        <v>0</v>
      </c>
      <c r="R24" s="16">
        <v>23</v>
      </c>
    </row>
    <row r="25" spans="1:18" ht="15.75" customHeight="1" x14ac:dyDescent="0.15">
      <c r="A25" s="1">
        <v>61</v>
      </c>
      <c r="B25" s="1" t="b">
        <v>0</v>
      </c>
      <c r="C25" s="1" t="s">
        <v>5</v>
      </c>
      <c r="D25" s="1" t="s">
        <v>52</v>
      </c>
      <c r="E25" s="1" t="s">
        <v>53</v>
      </c>
      <c r="F25" s="39">
        <v>0</v>
      </c>
      <c r="G25" s="35">
        <v>0</v>
      </c>
      <c r="H25" s="67">
        <v>1</v>
      </c>
      <c r="I25" s="74">
        <v>1</v>
      </c>
      <c r="J25" s="54">
        <v>1</v>
      </c>
      <c r="K25" s="82">
        <v>1</v>
      </c>
      <c r="L25" s="43">
        <v>0</v>
      </c>
      <c r="M25" s="86">
        <v>0</v>
      </c>
      <c r="N25" s="44">
        <v>0</v>
      </c>
      <c r="O25" s="13">
        <v>0</v>
      </c>
      <c r="P25" s="45">
        <v>0</v>
      </c>
      <c r="Q25" s="14">
        <v>0</v>
      </c>
      <c r="R25" s="16">
        <v>24</v>
      </c>
    </row>
    <row r="26" spans="1:18" ht="15.75" customHeight="1" x14ac:dyDescent="0.15">
      <c r="A26" s="1">
        <v>66</v>
      </c>
      <c r="B26" s="1" t="b">
        <v>1</v>
      </c>
      <c r="C26" s="1" t="s">
        <v>5</v>
      </c>
      <c r="D26" s="1" t="s">
        <v>54</v>
      </c>
      <c r="E26" s="1" t="s">
        <v>55</v>
      </c>
      <c r="F26" s="39">
        <v>0</v>
      </c>
      <c r="G26" s="35">
        <v>0</v>
      </c>
      <c r="H26" s="41">
        <v>1</v>
      </c>
      <c r="I26" s="23">
        <v>0</v>
      </c>
      <c r="J26" s="42">
        <v>0</v>
      </c>
      <c r="K26" s="12">
        <v>0</v>
      </c>
      <c r="L26" s="43">
        <v>0</v>
      </c>
      <c r="M26" s="86">
        <v>0</v>
      </c>
      <c r="N26" s="44">
        <v>0</v>
      </c>
      <c r="O26" s="13">
        <v>1</v>
      </c>
      <c r="P26" s="45">
        <v>0</v>
      </c>
      <c r="Q26" s="10">
        <v>0</v>
      </c>
      <c r="R26" s="16">
        <v>25</v>
      </c>
    </row>
    <row r="27" spans="1:18" ht="15.75" customHeight="1" x14ac:dyDescent="0.15">
      <c r="A27" s="1">
        <v>27</v>
      </c>
      <c r="B27" s="1" t="b">
        <v>1</v>
      </c>
      <c r="C27" s="1" t="b">
        <v>0</v>
      </c>
      <c r="D27" s="1" t="s">
        <v>56</v>
      </c>
      <c r="E27" s="1" t="s">
        <v>57</v>
      </c>
      <c r="F27" s="39">
        <v>0</v>
      </c>
      <c r="G27" s="35">
        <v>0</v>
      </c>
      <c r="H27" s="65">
        <v>1</v>
      </c>
      <c r="I27" s="71">
        <v>1</v>
      </c>
      <c r="J27" s="52">
        <v>1</v>
      </c>
      <c r="K27" s="56">
        <v>1</v>
      </c>
      <c r="L27" s="43">
        <v>0</v>
      </c>
      <c r="M27" s="86">
        <v>0</v>
      </c>
      <c r="N27" s="44">
        <v>0</v>
      </c>
      <c r="O27" s="13">
        <v>0</v>
      </c>
      <c r="P27" s="45">
        <v>0</v>
      </c>
      <c r="Q27" s="10">
        <v>0</v>
      </c>
      <c r="R27" s="16">
        <v>26</v>
      </c>
    </row>
    <row r="28" spans="1:18" ht="15.75" customHeight="1" x14ac:dyDescent="0.15">
      <c r="A28" s="1">
        <v>117</v>
      </c>
      <c r="B28" s="1" t="b">
        <v>1</v>
      </c>
      <c r="C28" s="1" t="b">
        <v>0</v>
      </c>
      <c r="D28" s="1" t="s">
        <v>58</v>
      </c>
      <c r="E28" s="1" t="s">
        <v>59</v>
      </c>
      <c r="F28" s="39">
        <v>0</v>
      </c>
      <c r="G28" s="35">
        <v>0</v>
      </c>
      <c r="H28" s="72">
        <v>1</v>
      </c>
      <c r="I28" s="73">
        <v>1</v>
      </c>
      <c r="J28" s="53">
        <v>1</v>
      </c>
      <c r="K28" s="12">
        <v>1</v>
      </c>
      <c r="L28" s="43">
        <v>0</v>
      </c>
      <c r="M28" s="86">
        <v>0</v>
      </c>
      <c r="N28" s="44">
        <v>0</v>
      </c>
      <c r="O28" s="13">
        <v>0</v>
      </c>
      <c r="P28" s="45">
        <v>0</v>
      </c>
      <c r="Q28" s="10">
        <v>0</v>
      </c>
      <c r="R28" s="16">
        <v>27</v>
      </c>
    </row>
    <row r="29" spans="1:18" ht="15.75" customHeight="1" x14ac:dyDescent="0.15">
      <c r="A29" s="1">
        <v>120</v>
      </c>
      <c r="B29" s="1" t="b">
        <v>1</v>
      </c>
      <c r="C29" s="1" t="b">
        <v>0</v>
      </c>
      <c r="D29" s="1" t="s">
        <v>60</v>
      </c>
      <c r="E29" s="1" t="s">
        <v>61</v>
      </c>
      <c r="F29" s="39">
        <v>0</v>
      </c>
      <c r="G29" s="35">
        <v>0</v>
      </c>
      <c r="H29" s="72">
        <v>1</v>
      </c>
      <c r="I29" s="73">
        <v>1</v>
      </c>
      <c r="J29" s="53">
        <v>1</v>
      </c>
      <c r="K29" s="12">
        <v>1</v>
      </c>
      <c r="L29" s="43">
        <v>0</v>
      </c>
      <c r="M29" s="86">
        <v>0</v>
      </c>
      <c r="N29" s="44">
        <v>0</v>
      </c>
      <c r="O29" s="13">
        <v>0</v>
      </c>
      <c r="P29" s="45">
        <v>0</v>
      </c>
      <c r="Q29" s="14">
        <v>0</v>
      </c>
      <c r="R29" s="16">
        <v>28</v>
      </c>
    </row>
    <row r="30" spans="1:18" ht="15.75" customHeight="1" x14ac:dyDescent="0.15">
      <c r="A30" s="1">
        <v>62</v>
      </c>
      <c r="B30" s="1" t="s">
        <v>5</v>
      </c>
      <c r="C30" s="1" t="b">
        <v>0</v>
      </c>
      <c r="D30" s="1" t="s">
        <v>62</v>
      </c>
      <c r="E30" s="1" t="s">
        <v>63</v>
      </c>
      <c r="F30" s="39">
        <v>0</v>
      </c>
      <c r="G30" s="35">
        <v>0</v>
      </c>
      <c r="H30" s="72">
        <v>1</v>
      </c>
      <c r="I30" s="73">
        <v>1</v>
      </c>
      <c r="J30" s="53">
        <v>1</v>
      </c>
      <c r="K30" s="12">
        <v>1</v>
      </c>
      <c r="L30" s="97">
        <v>1</v>
      </c>
      <c r="M30" s="99">
        <v>1</v>
      </c>
      <c r="N30" s="44">
        <v>0</v>
      </c>
      <c r="O30" s="13">
        <v>0</v>
      </c>
      <c r="P30" s="45">
        <v>0</v>
      </c>
      <c r="Q30" s="10">
        <v>0</v>
      </c>
      <c r="R30" s="16">
        <v>29</v>
      </c>
    </row>
    <row r="31" spans="1:18" ht="15.75" customHeight="1" x14ac:dyDescent="0.15">
      <c r="A31" s="1">
        <v>132</v>
      </c>
      <c r="B31" s="1" t="b">
        <v>1</v>
      </c>
      <c r="C31" s="1" t="b">
        <v>0</v>
      </c>
      <c r="D31" s="1" t="s">
        <v>64</v>
      </c>
      <c r="E31" s="1" t="s">
        <v>65</v>
      </c>
      <c r="F31" s="39">
        <v>0</v>
      </c>
      <c r="G31" s="35">
        <v>0</v>
      </c>
      <c r="H31" s="67">
        <v>1</v>
      </c>
      <c r="I31" s="74">
        <v>1</v>
      </c>
      <c r="J31" s="53">
        <v>1</v>
      </c>
      <c r="K31" s="12">
        <v>1</v>
      </c>
      <c r="L31" s="43">
        <v>0</v>
      </c>
      <c r="M31" s="86">
        <v>0</v>
      </c>
      <c r="N31" s="44">
        <v>0</v>
      </c>
      <c r="O31" s="13">
        <v>0</v>
      </c>
      <c r="P31" s="45">
        <v>0</v>
      </c>
      <c r="Q31" s="10">
        <v>0</v>
      </c>
      <c r="R31" s="16">
        <v>30</v>
      </c>
    </row>
    <row r="32" spans="1:18" ht="15.75" customHeight="1" x14ac:dyDescent="0.15">
      <c r="A32" s="1">
        <v>23</v>
      </c>
      <c r="B32" s="1" t="s">
        <v>5</v>
      </c>
      <c r="C32" s="1" t="b">
        <v>1</v>
      </c>
      <c r="D32" s="1" t="s">
        <v>66</v>
      </c>
      <c r="E32" s="1" t="s">
        <v>67</v>
      </c>
      <c r="F32" s="39">
        <v>0</v>
      </c>
      <c r="G32" s="35">
        <v>0</v>
      </c>
      <c r="H32" s="41">
        <v>0</v>
      </c>
      <c r="I32" s="23">
        <v>0</v>
      </c>
      <c r="J32" s="54">
        <v>1</v>
      </c>
      <c r="K32" s="82">
        <v>1</v>
      </c>
      <c r="L32" s="43">
        <v>0</v>
      </c>
      <c r="M32" s="86">
        <v>0</v>
      </c>
      <c r="N32" s="44">
        <v>0</v>
      </c>
      <c r="O32" s="13">
        <v>1</v>
      </c>
      <c r="P32" s="45">
        <v>0</v>
      </c>
      <c r="Q32" s="10">
        <v>0</v>
      </c>
      <c r="R32" s="16">
        <v>31</v>
      </c>
    </row>
    <row r="33" spans="1:18" ht="15.75" customHeight="1" x14ac:dyDescent="0.15">
      <c r="A33" s="1">
        <v>121</v>
      </c>
      <c r="B33" s="1" t="b">
        <v>0</v>
      </c>
      <c r="C33" s="1" t="s">
        <v>5</v>
      </c>
      <c r="D33" s="1" t="s">
        <v>68</v>
      </c>
      <c r="E33" s="1" t="s">
        <v>69</v>
      </c>
      <c r="F33" s="39">
        <v>0</v>
      </c>
      <c r="G33" s="35">
        <v>0</v>
      </c>
      <c r="H33" s="75">
        <v>1</v>
      </c>
      <c r="I33" s="76">
        <v>1</v>
      </c>
      <c r="J33" s="42">
        <v>0</v>
      </c>
      <c r="K33" s="12">
        <v>0</v>
      </c>
      <c r="L33" s="43">
        <v>0</v>
      </c>
      <c r="M33" s="86">
        <v>0</v>
      </c>
      <c r="N33" s="83">
        <v>1</v>
      </c>
      <c r="O33" s="59">
        <v>1</v>
      </c>
      <c r="P33" s="45">
        <v>0</v>
      </c>
      <c r="Q33" s="14">
        <v>0</v>
      </c>
      <c r="R33" s="16">
        <v>32</v>
      </c>
    </row>
    <row r="34" spans="1:18" ht="15.75" customHeight="1" x14ac:dyDescent="0.15">
      <c r="A34" s="1">
        <v>14</v>
      </c>
      <c r="B34" s="1" t="s">
        <v>5</v>
      </c>
      <c r="C34" s="1" t="s">
        <v>70</v>
      </c>
      <c r="D34" s="1" t="s">
        <v>71</v>
      </c>
      <c r="E34" s="1" t="s">
        <v>72</v>
      </c>
      <c r="F34" s="39">
        <v>0</v>
      </c>
      <c r="G34" s="36">
        <v>0</v>
      </c>
      <c r="H34" s="41">
        <v>1</v>
      </c>
      <c r="I34" s="24">
        <v>0</v>
      </c>
      <c r="J34" s="42">
        <v>0</v>
      </c>
      <c r="K34" s="17">
        <v>0</v>
      </c>
      <c r="L34" s="43">
        <v>0</v>
      </c>
      <c r="M34" s="87">
        <v>0</v>
      </c>
      <c r="N34" s="44">
        <v>1</v>
      </c>
      <c r="O34" s="18">
        <v>0</v>
      </c>
      <c r="P34" s="62">
        <v>1</v>
      </c>
      <c r="Q34" s="63">
        <v>1</v>
      </c>
      <c r="R34" s="19">
        <v>33</v>
      </c>
    </row>
    <row r="35" spans="1:18" ht="15.75" customHeight="1" x14ac:dyDescent="0.15">
      <c r="A35" s="1">
        <v>79</v>
      </c>
      <c r="B35" s="1" t="b">
        <v>0</v>
      </c>
      <c r="C35" s="1" t="s">
        <v>5</v>
      </c>
      <c r="D35" s="1" t="s">
        <v>73</v>
      </c>
      <c r="E35" s="1" t="s">
        <v>74</v>
      </c>
      <c r="F35" s="39">
        <v>0</v>
      </c>
      <c r="G35" s="35">
        <v>1</v>
      </c>
      <c r="H35" s="75">
        <v>1</v>
      </c>
      <c r="I35" s="76">
        <v>1</v>
      </c>
      <c r="J35" s="42">
        <v>0</v>
      </c>
      <c r="K35" s="12">
        <v>0</v>
      </c>
      <c r="L35" s="43">
        <v>0</v>
      </c>
      <c r="M35" s="86">
        <v>0</v>
      </c>
      <c r="N35" s="84">
        <v>1</v>
      </c>
      <c r="O35" s="60">
        <v>1</v>
      </c>
      <c r="P35" s="45">
        <v>0</v>
      </c>
      <c r="Q35" s="10">
        <v>0</v>
      </c>
      <c r="R35" s="16">
        <v>34</v>
      </c>
    </row>
    <row r="36" spans="1:18" ht="15.75" customHeight="1" x14ac:dyDescent="0.15">
      <c r="A36" s="1">
        <v>86</v>
      </c>
      <c r="B36" s="1" t="s">
        <v>5</v>
      </c>
      <c r="C36" s="1" t="b">
        <v>1</v>
      </c>
      <c r="D36" s="1" t="s">
        <v>75</v>
      </c>
      <c r="E36" s="1" t="s">
        <v>76</v>
      </c>
      <c r="F36" s="39">
        <v>0</v>
      </c>
      <c r="G36" s="35">
        <v>0</v>
      </c>
      <c r="H36" s="41">
        <v>1</v>
      </c>
      <c r="I36" s="23">
        <v>0</v>
      </c>
      <c r="J36" s="42">
        <v>0</v>
      </c>
      <c r="K36" s="12">
        <v>0</v>
      </c>
      <c r="L36" s="43">
        <v>0</v>
      </c>
      <c r="M36" s="86">
        <v>0</v>
      </c>
      <c r="N36" s="85">
        <v>1</v>
      </c>
      <c r="O36" s="61">
        <v>1</v>
      </c>
      <c r="P36" s="45">
        <v>0</v>
      </c>
      <c r="Q36" s="10">
        <v>0</v>
      </c>
      <c r="R36" s="16">
        <v>35</v>
      </c>
    </row>
    <row r="37" spans="1:18" ht="15.75" customHeight="1" x14ac:dyDescent="0.15">
      <c r="A37" s="1">
        <v>33</v>
      </c>
      <c r="B37" s="1" t="b">
        <v>1</v>
      </c>
      <c r="C37" s="1" t="b">
        <v>0</v>
      </c>
      <c r="D37" s="1" t="s">
        <v>77</v>
      </c>
      <c r="E37" s="1" t="s">
        <v>78</v>
      </c>
      <c r="F37" s="39">
        <v>0</v>
      </c>
      <c r="G37" s="35">
        <v>1</v>
      </c>
      <c r="H37" s="81">
        <v>1</v>
      </c>
      <c r="I37" s="71">
        <v>1</v>
      </c>
      <c r="J37" s="52">
        <v>1</v>
      </c>
      <c r="K37" s="95">
        <v>1</v>
      </c>
      <c r="L37" s="43">
        <v>0</v>
      </c>
      <c r="M37" s="86">
        <v>0</v>
      </c>
      <c r="N37" s="44">
        <v>1</v>
      </c>
      <c r="O37" s="13">
        <v>0</v>
      </c>
      <c r="P37" s="45">
        <v>0</v>
      </c>
      <c r="Q37" s="14">
        <v>0</v>
      </c>
      <c r="R37" s="16">
        <v>36</v>
      </c>
    </row>
    <row r="38" spans="1:18" ht="15.75" customHeight="1" x14ac:dyDescent="0.15">
      <c r="A38" s="1">
        <v>84</v>
      </c>
      <c r="B38" s="1" t="b">
        <v>1</v>
      </c>
      <c r="C38" s="1" t="b">
        <v>0</v>
      </c>
      <c r="D38" s="1" t="s">
        <v>79</v>
      </c>
      <c r="E38" s="1" t="s">
        <v>80</v>
      </c>
      <c r="F38" s="39">
        <v>0</v>
      </c>
      <c r="G38" s="35">
        <v>0</v>
      </c>
      <c r="H38" s="72">
        <v>1</v>
      </c>
      <c r="I38" s="73">
        <v>1</v>
      </c>
      <c r="J38" s="54">
        <v>1</v>
      </c>
      <c r="K38" s="94">
        <v>1</v>
      </c>
      <c r="L38" s="97">
        <v>1</v>
      </c>
      <c r="M38" s="99">
        <v>1</v>
      </c>
      <c r="N38" s="44">
        <v>0</v>
      </c>
      <c r="O38" s="13">
        <v>0</v>
      </c>
      <c r="P38" s="45">
        <v>0</v>
      </c>
      <c r="Q38" s="10">
        <v>0</v>
      </c>
      <c r="R38" s="16">
        <v>37</v>
      </c>
    </row>
    <row r="39" spans="1:18" ht="15.75" customHeight="1" x14ac:dyDescent="0.15">
      <c r="A39" s="1">
        <v>68</v>
      </c>
      <c r="B39" s="1" t="s">
        <v>5</v>
      </c>
      <c r="C39" s="1" t="b">
        <v>0</v>
      </c>
      <c r="D39" s="1" t="s">
        <v>81</v>
      </c>
      <c r="E39" s="1" t="s">
        <v>82</v>
      </c>
      <c r="F39" s="39">
        <v>1</v>
      </c>
      <c r="G39" s="35">
        <v>1</v>
      </c>
      <c r="H39" s="67">
        <v>1</v>
      </c>
      <c r="I39" s="74">
        <v>1</v>
      </c>
      <c r="J39" s="42">
        <v>0</v>
      </c>
      <c r="K39" s="12">
        <v>1</v>
      </c>
      <c r="L39" s="43">
        <v>0</v>
      </c>
      <c r="M39" s="86">
        <v>0</v>
      </c>
      <c r="N39" s="84">
        <v>1</v>
      </c>
      <c r="O39" s="60">
        <v>1</v>
      </c>
      <c r="P39" s="45">
        <v>0</v>
      </c>
      <c r="Q39" s="10">
        <v>0</v>
      </c>
      <c r="R39" s="16">
        <v>38</v>
      </c>
    </row>
    <row r="40" spans="1:18" ht="15.75" customHeight="1" x14ac:dyDescent="0.15">
      <c r="A40" s="1">
        <v>18</v>
      </c>
      <c r="B40" s="1" t="b">
        <v>1</v>
      </c>
      <c r="C40" s="1" t="s">
        <v>5</v>
      </c>
      <c r="D40" s="1" t="s">
        <v>83</v>
      </c>
      <c r="E40" s="1" t="s">
        <v>84</v>
      </c>
      <c r="F40" s="39">
        <v>1</v>
      </c>
      <c r="G40" s="35">
        <v>1</v>
      </c>
      <c r="H40" s="41">
        <v>1</v>
      </c>
      <c r="I40" s="23">
        <v>0</v>
      </c>
      <c r="J40" s="42">
        <v>0</v>
      </c>
      <c r="K40" s="12">
        <v>0</v>
      </c>
      <c r="L40" s="43">
        <v>0</v>
      </c>
      <c r="M40" s="86">
        <v>0</v>
      </c>
      <c r="N40" s="85">
        <v>1</v>
      </c>
      <c r="O40" s="61">
        <v>1</v>
      </c>
      <c r="P40" s="45">
        <v>0</v>
      </c>
      <c r="Q40" s="10">
        <v>0</v>
      </c>
      <c r="R40" s="16">
        <v>39</v>
      </c>
    </row>
    <row r="41" spans="1:18" ht="15.75" customHeight="1" x14ac:dyDescent="0.15">
      <c r="A41" s="1">
        <v>137</v>
      </c>
      <c r="B41" s="1" t="s">
        <v>5</v>
      </c>
      <c r="C41" s="1" t="b">
        <v>0</v>
      </c>
      <c r="D41" s="1" t="s">
        <v>85</v>
      </c>
      <c r="E41" s="1" t="s">
        <v>86</v>
      </c>
      <c r="F41" s="39">
        <v>0</v>
      </c>
      <c r="G41" s="35">
        <v>0</v>
      </c>
      <c r="H41" s="65">
        <v>1</v>
      </c>
      <c r="I41" s="71">
        <v>1</v>
      </c>
      <c r="J41" s="52">
        <v>1</v>
      </c>
      <c r="K41" s="95">
        <v>1</v>
      </c>
      <c r="L41" s="43">
        <v>0</v>
      </c>
      <c r="M41" s="86">
        <v>0</v>
      </c>
      <c r="N41" s="44">
        <v>0</v>
      </c>
      <c r="O41" s="13">
        <v>0</v>
      </c>
      <c r="P41" s="45">
        <v>0</v>
      </c>
      <c r="Q41" s="14">
        <v>0</v>
      </c>
      <c r="R41" s="16">
        <v>40</v>
      </c>
    </row>
    <row r="42" spans="1:18" ht="15.75" customHeight="1" x14ac:dyDescent="0.15">
      <c r="A42" s="1">
        <v>54</v>
      </c>
      <c r="B42" s="1" t="b">
        <v>1</v>
      </c>
      <c r="C42" s="1" t="b">
        <v>0</v>
      </c>
      <c r="D42" s="1" t="s">
        <v>87</v>
      </c>
      <c r="E42" s="1" t="s">
        <v>88</v>
      </c>
      <c r="F42" s="46">
        <v>1</v>
      </c>
      <c r="G42" s="77">
        <v>1</v>
      </c>
      <c r="H42" s="72">
        <v>1</v>
      </c>
      <c r="I42" s="73">
        <v>1</v>
      </c>
      <c r="J42" s="54">
        <v>1</v>
      </c>
      <c r="K42" s="94">
        <v>1</v>
      </c>
      <c r="L42" s="97">
        <v>1</v>
      </c>
      <c r="M42" s="99">
        <v>1</v>
      </c>
      <c r="N42" s="44">
        <v>0</v>
      </c>
      <c r="O42" s="13">
        <v>0</v>
      </c>
      <c r="P42" s="45">
        <v>0</v>
      </c>
      <c r="Q42" s="10">
        <v>0</v>
      </c>
      <c r="R42" s="16">
        <v>41</v>
      </c>
    </row>
    <row r="43" spans="1:18" ht="15.75" customHeight="1" x14ac:dyDescent="0.15">
      <c r="A43" s="1">
        <v>38</v>
      </c>
      <c r="B43" s="1" t="s">
        <v>5</v>
      </c>
      <c r="C43" s="1" t="b">
        <v>0</v>
      </c>
      <c r="D43" s="1" t="s">
        <v>89</v>
      </c>
      <c r="E43" s="1" t="s">
        <v>90</v>
      </c>
      <c r="F43" s="49">
        <v>1</v>
      </c>
      <c r="G43" s="35">
        <v>1</v>
      </c>
      <c r="H43" s="72">
        <v>1</v>
      </c>
      <c r="I43" s="73">
        <v>1</v>
      </c>
      <c r="J43" s="42">
        <v>1</v>
      </c>
      <c r="K43" s="12">
        <v>0</v>
      </c>
      <c r="L43" s="43">
        <v>0</v>
      </c>
      <c r="M43" s="86">
        <v>0</v>
      </c>
      <c r="N43" s="44">
        <v>0</v>
      </c>
      <c r="O43" s="13">
        <v>1</v>
      </c>
      <c r="P43" s="45">
        <v>0</v>
      </c>
      <c r="Q43" s="10">
        <v>0</v>
      </c>
      <c r="R43" s="16">
        <v>42</v>
      </c>
    </row>
    <row r="44" spans="1:18" ht="15.75" customHeight="1" x14ac:dyDescent="0.15">
      <c r="A44" s="1">
        <v>131</v>
      </c>
      <c r="B44" s="1" t="s">
        <v>5</v>
      </c>
      <c r="C44" s="1" t="b">
        <v>0</v>
      </c>
      <c r="D44" s="1" t="s">
        <v>91</v>
      </c>
      <c r="E44" s="1" t="s">
        <v>92</v>
      </c>
      <c r="F44" s="49">
        <v>1</v>
      </c>
      <c r="G44" s="35">
        <v>1</v>
      </c>
      <c r="H44" s="67">
        <v>1</v>
      </c>
      <c r="I44" s="74">
        <v>1</v>
      </c>
      <c r="J44" s="55">
        <v>1</v>
      </c>
      <c r="K44" s="102">
        <v>1</v>
      </c>
      <c r="L44" s="43">
        <v>0</v>
      </c>
      <c r="M44" s="86">
        <v>0</v>
      </c>
      <c r="N44" s="44">
        <v>0</v>
      </c>
      <c r="O44" s="13">
        <v>0</v>
      </c>
      <c r="P44" s="45">
        <v>0</v>
      </c>
      <c r="Q44" s="10">
        <v>0</v>
      </c>
      <c r="R44" s="16">
        <v>43</v>
      </c>
    </row>
    <row r="45" spans="1:18" ht="15.75" customHeight="1" x14ac:dyDescent="0.15">
      <c r="A45" s="1">
        <v>52</v>
      </c>
      <c r="B45" s="1" t="b">
        <v>0</v>
      </c>
      <c r="C45" s="1" t="s">
        <v>5</v>
      </c>
      <c r="D45" s="1" t="s">
        <v>93</v>
      </c>
      <c r="E45" s="1" t="s">
        <v>94</v>
      </c>
      <c r="F45" s="48">
        <v>1</v>
      </c>
      <c r="G45" s="50">
        <v>1</v>
      </c>
      <c r="H45" s="41">
        <v>0</v>
      </c>
      <c r="I45" s="23">
        <v>0</v>
      </c>
      <c r="J45" s="42">
        <v>0</v>
      </c>
      <c r="K45" s="12">
        <v>0</v>
      </c>
      <c r="L45" s="43">
        <v>0</v>
      </c>
      <c r="M45" s="86">
        <v>0</v>
      </c>
      <c r="N45" s="83">
        <v>1</v>
      </c>
      <c r="O45" s="59">
        <v>1</v>
      </c>
      <c r="P45" s="45">
        <v>0</v>
      </c>
      <c r="Q45" s="14">
        <v>0</v>
      </c>
      <c r="R45" s="16">
        <v>44</v>
      </c>
    </row>
    <row r="46" spans="1:18" ht="15.75" customHeight="1" x14ac:dyDescent="0.15">
      <c r="A46" s="1">
        <v>95</v>
      </c>
      <c r="B46" s="1" t="s">
        <v>5</v>
      </c>
      <c r="C46" s="1" t="b">
        <v>0</v>
      </c>
      <c r="D46" s="1" t="s">
        <v>95</v>
      </c>
      <c r="E46" s="1" t="s">
        <v>96</v>
      </c>
      <c r="F46" s="39">
        <v>0</v>
      </c>
      <c r="G46" s="35">
        <v>0</v>
      </c>
      <c r="H46" s="65">
        <v>1</v>
      </c>
      <c r="I46" s="71">
        <v>1</v>
      </c>
      <c r="J46" s="42">
        <v>0</v>
      </c>
      <c r="K46" s="12">
        <v>0</v>
      </c>
      <c r="L46" s="43">
        <v>0</v>
      </c>
      <c r="M46" s="86">
        <v>0</v>
      </c>
      <c r="N46" s="44">
        <v>0</v>
      </c>
      <c r="O46" s="13">
        <v>0</v>
      </c>
      <c r="P46" s="45">
        <v>0</v>
      </c>
      <c r="Q46" s="10">
        <v>0</v>
      </c>
      <c r="R46" s="16">
        <v>45</v>
      </c>
    </row>
    <row r="47" spans="1:18" ht="15.75" customHeight="1" x14ac:dyDescent="0.15">
      <c r="A47" s="1">
        <v>30</v>
      </c>
      <c r="B47" s="1" t="b">
        <v>1</v>
      </c>
      <c r="C47" s="1" t="b">
        <v>0</v>
      </c>
      <c r="D47" s="1" t="s">
        <v>97</v>
      </c>
      <c r="E47" s="1" t="s">
        <v>98</v>
      </c>
      <c r="F47" s="51">
        <v>1</v>
      </c>
      <c r="G47" s="78">
        <v>1</v>
      </c>
      <c r="H47" s="72">
        <v>1</v>
      </c>
      <c r="I47" s="73">
        <v>1</v>
      </c>
      <c r="J47" s="55">
        <v>1</v>
      </c>
      <c r="K47" s="102">
        <v>1</v>
      </c>
      <c r="L47" s="43">
        <v>0</v>
      </c>
      <c r="M47" s="86">
        <v>0</v>
      </c>
      <c r="N47" s="44">
        <v>0</v>
      </c>
      <c r="O47" s="13">
        <v>0</v>
      </c>
      <c r="P47" s="45">
        <v>0</v>
      </c>
      <c r="Q47" s="10">
        <v>0</v>
      </c>
      <c r="R47" s="16">
        <v>46</v>
      </c>
    </row>
    <row r="48" spans="1:18" ht="15.75" customHeight="1" x14ac:dyDescent="0.15">
      <c r="A48" s="1">
        <v>50</v>
      </c>
      <c r="B48" s="1" t="s">
        <v>5</v>
      </c>
      <c r="C48" s="1" t="b">
        <v>0</v>
      </c>
      <c r="D48" s="1" t="s">
        <v>99</v>
      </c>
      <c r="E48" s="1" t="s">
        <v>100</v>
      </c>
      <c r="F48" s="39">
        <v>0</v>
      </c>
      <c r="G48" s="35">
        <v>0</v>
      </c>
      <c r="H48" s="72">
        <v>1</v>
      </c>
      <c r="I48" s="73">
        <v>1</v>
      </c>
      <c r="J48" s="42">
        <v>0</v>
      </c>
      <c r="K48" s="12">
        <v>0</v>
      </c>
      <c r="L48" s="43">
        <v>0</v>
      </c>
      <c r="M48" s="86">
        <v>0</v>
      </c>
      <c r="N48" s="44">
        <v>0</v>
      </c>
      <c r="O48" s="13">
        <v>0</v>
      </c>
      <c r="P48" s="45">
        <v>1</v>
      </c>
      <c r="Q48" s="10">
        <v>0</v>
      </c>
      <c r="R48" s="16">
        <v>47</v>
      </c>
    </row>
    <row r="49" spans="1:18" ht="15.75" customHeight="1" x14ac:dyDescent="0.15">
      <c r="A49" s="1">
        <v>9</v>
      </c>
      <c r="B49" s="1" t="b">
        <v>1</v>
      </c>
      <c r="C49" s="1" t="b">
        <v>0</v>
      </c>
      <c r="D49" s="1" t="s">
        <v>101</v>
      </c>
      <c r="E49" s="1" t="s">
        <v>102</v>
      </c>
      <c r="F49" s="51">
        <v>1</v>
      </c>
      <c r="G49" s="78">
        <v>1</v>
      </c>
      <c r="H49" s="67">
        <v>1</v>
      </c>
      <c r="I49" s="74">
        <v>1</v>
      </c>
      <c r="J49" s="42">
        <v>0</v>
      </c>
      <c r="K49" s="12">
        <v>0</v>
      </c>
      <c r="L49" s="43">
        <v>0</v>
      </c>
      <c r="M49" s="86">
        <v>0</v>
      </c>
      <c r="N49" s="83">
        <v>1</v>
      </c>
      <c r="O49" s="59">
        <v>1</v>
      </c>
      <c r="P49" s="45">
        <v>0</v>
      </c>
      <c r="Q49" s="14">
        <v>0</v>
      </c>
      <c r="R49" s="16">
        <v>48</v>
      </c>
    </row>
    <row r="50" spans="1:18" ht="15.75" customHeight="1" x14ac:dyDescent="0.15">
      <c r="A50" s="1">
        <v>35</v>
      </c>
      <c r="B50" s="1" t="s">
        <v>5</v>
      </c>
      <c r="C50" s="1" t="b">
        <v>1</v>
      </c>
      <c r="D50" s="1" t="s">
        <v>103</v>
      </c>
      <c r="E50" s="1" t="s">
        <v>104</v>
      </c>
      <c r="F50" s="39">
        <v>0</v>
      </c>
      <c r="G50" s="35">
        <v>0</v>
      </c>
      <c r="H50" s="41">
        <v>0</v>
      </c>
      <c r="I50" s="23">
        <v>1</v>
      </c>
      <c r="J50" s="55">
        <v>1</v>
      </c>
      <c r="K50" s="102">
        <v>1</v>
      </c>
      <c r="L50" s="43">
        <v>0</v>
      </c>
      <c r="M50" s="86">
        <v>0</v>
      </c>
      <c r="N50" s="44">
        <v>0</v>
      </c>
      <c r="O50" s="13">
        <v>0</v>
      </c>
      <c r="P50" s="45">
        <v>0</v>
      </c>
      <c r="Q50" s="10">
        <v>0</v>
      </c>
      <c r="R50" s="16">
        <v>49</v>
      </c>
    </row>
    <row r="51" spans="1:18" ht="15.75" customHeight="1" x14ac:dyDescent="0.15">
      <c r="A51" s="1">
        <v>74</v>
      </c>
      <c r="B51" s="1" t="s">
        <v>5</v>
      </c>
      <c r="C51" s="1" t="b">
        <v>0</v>
      </c>
      <c r="D51" s="1" t="s">
        <v>105</v>
      </c>
      <c r="E51" s="1" t="s">
        <v>19</v>
      </c>
      <c r="F51" s="39">
        <v>0</v>
      </c>
      <c r="G51" s="35">
        <v>0</v>
      </c>
      <c r="H51" s="75">
        <v>1</v>
      </c>
      <c r="I51" s="76">
        <v>1</v>
      </c>
      <c r="J51" s="42">
        <v>0</v>
      </c>
      <c r="K51" s="12">
        <v>0</v>
      </c>
      <c r="L51" s="43">
        <v>0</v>
      </c>
      <c r="M51" s="86">
        <v>0</v>
      </c>
      <c r="N51" s="44">
        <v>0</v>
      </c>
      <c r="O51" s="13">
        <v>0</v>
      </c>
      <c r="P51" s="45">
        <v>0</v>
      </c>
      <c r="Q51" s="10">
        <v>0</v>
      </c>
      <c r="R51" s="16">
        <v>50</v>
      </c>
    </row>
    <row r="52" spans="1:18" ht="15.75" customHeight="1" x14ac:dyDescent="0.15">
      <c r="F52" s="40">
        <f t="shared" ref="F52:P52" si="0">SUM(F2:F51)</f>
        <v>11</v>
      </c>
      <c r="G52" s="37">
        <f t="shared" ref="G52" si="1">SUM(G2:G51)</f>
        <v>14</v>
      </c>
      <c r="H52" s="40">
        <f>SUM(H2:H51)</f>
        <v>41</v>
      </c>
      <c r="I52" s="25">
        <f t="shared" ref="I52" si="2">SUM(I2:I51)</f>
        <v>38</v>
      </c>
      <c r="J52" s="40">
        <f t="shared" si="0"/>
        <v>31</v>
      </c>
      <c r="K52" s="1">
        <f t="shared" ref="K52" si="3">SUM(K2:K51)</f>
        <v>31</v>
      </c>
      <c r="L52" s="40">
        <f t="shared" si="0"/>
        <v>7</v>
      </c>
      <c r="M52" s="1">
        <f t="shared" ref="M52" si="4">SUM(M2:M51)</f>
        <v>7</v>
      </c>
      <c r="N52" s="40">
        <f t="shared" si="0"/>
        <v>13</v>
      </c>
      <c r="O52" s="1">
        <f t="shared" ref="O52" si="5">SUM(O2:O51)</f>
        <v>15</v>
      </c>
      <c r="P52" s="40">
        <f t="shared" si="0"/>
        <v>2</v>
      </c>
      <c r="Q52" s="1">
        <f t="shared" ref="Q52" si="6">SUM(Q2:Q51)</f>
        <v>1</v>
      </c>
      <c r="R52" s="2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2026-04-02T13:43:55Z</dcterms:created>
  <dcterms:modified xsi:type="dcterms:W3CDTF">2026-05-05T12:37:54Z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280F72A815BD4890A522AD6F3CBA09A0_12</vt:lpwstr>
  </property>
  <property fmtid="{D5CDD505-2E9C-101B-9397-08002B2CF9AE}" pid="3" name="KSOProductBuildVer">
    <vt:lpwstr>2057-12.2.0.23197</vt:lpwstr>
  </property>
</Properties>
</file>